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1c62b471f21c37/Documents/"/>
    </mc:Choice>
  </mc:AlternateContent>
  <xr:revisionPtr revIDLastSave="1816" documentId="8_{437BEEAB-ABCC-4F2A-BD5D-71782262AF52}" xr6:coauthVersionLast="47" xr6:coauthVersionMax="47" xr10:uidLastSave="{E09548CB-B890-44C4-A796-9FE1025BF94E}"/>
  <bookViews>
    <workbookView xWindow="-98" yWindow="-98" windowWidth="21795" windowHeight="12975" firstSheet="4" activeTab="8" xr2:uid="{12F86719-D187-414D-AEDF-AC78C2D60907}"/>
  </bookViews>
  <sheets>
    <sheet name="2. Financial Scorecard (2)" sheetId="8" r:id="rId1"/>
    <sheet name="Inputs" sheetId="1" r:id="rId2"/>
    <sheet name="Application Model" sheetId="2" r:id="rId3"/>
    <sheet name="Application" sheetId="4" r:id="rId4"/>
    <sheet name="Internal Deposit" sheetId="20" r:id="rId5"/>
    <sheet name="Financial" sheetId="5" r:id="rId6"/>
    <sheet name="Bureau Individual" sheetId="10" r:id="rId7"/>
    <sheet name="Input Flat file" sheetId="12" r:id="rId8"/>
    <sheet name="Bureau Commercial" sheetId="13" r:id="rId9"/>
    <sheet name="Cash Flow" sheetId="14" r:id="rId10"/>
    <sheet name="Sheet6" sheetId="6" state="hidden" r:id="rId11"/>
    <sheet name="QCA" sheetId="15" r:id="rId12"/>
    <sheet name="7.Industry QCA Manufacturing" sheetId="11" r:id="rId13"/>
    <sheet name="8.Industry QCA Services" sheetId="16" r:id="rId14"/>
    <sheet name="8.Industry QCA Trading" sheetId="17" r:id="rId15"/>
  </sheets>
  <definedNames>
    <definedName name="_xlnm._FilterDatabase" localSheetId="12" hidden="1">'7.Industry QCA Manufacturing'!$N$10:$N$34</definedName>
    <definedName name="_xlnm._FilterDatabase" localSheetId="13" hidden="1">'8.Industry QCA Services'!$O$11:$O$28</definedName>
    <definedName name="_xlnm._FilterDatabase" localSheetId="14" hidden="1">'8.Industry QCA Trading'!$K$4:$K$31</definedName>
    <definedName name="_xlnm._FilterDatabase" localSheetId="11" hidden="1">QCA!$N$95:$N$209</definedName>
    <definedName name="_xlnm.Extract" localSheetId="12">'7.Industry QCA Manufacturing'!$P$13</definedName>
    <definedName name="_xlnm.Extract" localSheetId="13">'8.Industry QCA Services'!$Q$10</definedName>
    <definedName name="_xlnm.Extract" localSheetId="14">'8.Industry QCA Trading'!$N$7</definedName>
    <definedName name="_xlnm.Extract" localSheetId="11">QCA!$Q$98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3" l="1"/>
</calcChain>
</file>

<file path=xl/sharedStrings.xml><?xml version="1.0" encoding="utf-8"?>
<sst xmlns="http://schemas.openxmlformats.org/spreadsheetml/2006/main" count="1259" uniqueCount="198">
  <si>
    <t>Variable</t>
  </si>
  <si>
    <t>Coefficient</t>
  </si>
  <si>
    <t>Min_Value</t>
  </si>
  <si>
    <t>Max_Value</t>
  </si>
  <si>
    <t>WOE</t>
  </si>
  <si>
    <t>Variable value</t>
  </si>
  <si>
    <t>Active Flag</t>
  </si>
  <si>
    <t>RATIO_EXP_AGE</t>
  </si>
  <si>
    <t>max value</t>
  </si>
  <si>
    <t>NA</t>
  </si>
  <si>
    <t>SERVICES</t>
  </si>
  <si>
    <t>OTHERS</t>
  </si>
  <si>
    <t>STOCKS</t>
  </si>
  <si>
    <t>MACHINERY</t>
  </si>
  <si>
    <t>MORTGAGE</t>
  </si>
  <si>
    <t>MISSING</t>
  </si>
  <si>
    <t>PARTNERSHIP</t>
  </si>
  <si>
    <t>PROPRIETORSHIP</t>
  </si>
  <si>
    <t>CO'S-PRIVATE</t>
  </si>
  <si>
    <t>PD</t>
  </si>
  <si>
    <t>Application</t>
  </si>
  <si>
    <t>Financial</t>
  </si>
  <si>
    <t>min_value</t>
  </si>
  <si>
    <t>TRADING</t>
  </si>
  <si>
    <t>MANUFACTURING</t>
  </si>
  <si>
    <t>HYBRID/MULTIPLE TYPE</t>
  </si>
  <si>
    <t xml:space="preserve"> MANUFACTURING</t>
  </si>
  <si>
    <t xml:space="preserve"> SERVICES</t>
  </si>
  <si>
    <t xml:space="preserve"> OTHERS</t>
  </si>
  <si>
    <t xml:space="preserve"> NA</t>
  </si>
  <si>
    <t xml:space="preserve"> STOCKS</t>
  </si>
  <si>
    <t xml:space="preserve"> HYBRID/MULTIPLE</t>
  </si>
  <si>
    <t>HYBRID/MULTIPLE</t>
  </si>
  <si>
    <t xml:space="preserve"> MACHINERY</t>
  </si>
  <si>
    <t xml:space="preserve"> MORTGAGE</t>
  </si>
  <si>
    <t xml:space="preserve"> MISSING</t>
  </si>
  <si>
    <t>RATIO_EXP_AGE_WOE</t>
  </si>
  <si>
    <t>INDUSTRY_CATG_WOE</t>
  </si>
  <si>
    <t>COLLATERAL_TYPE_DRV_WOE</t>
  </si>
  <si>
    <t>CUST_VINTAGE_MEAN_WOE</t>
  </si>
  <si>
    <t>Active_Flag</t>
  </si>
  <si>
    <t>Variable_Value</t>
  </si>
  <si>
    <t>Basic_Intercept</t>
  </si>
  <si>
    <t xml:space="preserve">Overall Application Constant Adjustment </t>
  </si>
  <si>
    <t>Intercept</t>
  </si>
  <si>
    <t>Log_odd</t>
  </si>
  <si>
    <t>Bank</t>
  </si>
  <si>
    <t>Market</t>
  </si>
  <si>
    <t>Segment</t>
  </si>
  <si>
    <t>Ticket_size</t>
  </si>
  <si>
    <t>Calibration_PD</t>
  </si>
  <si>
    <t>Indian Bank</t>
  </si>
  <si>
    <t>India</t>
  </si>
  <si>
    <t>SME</t>
  </si>
  <si>
    <t>XX-XX</t>
  </si>
  <si>
    <t>Model_Dev_customer_base</t>
  </si>
  <si>
    <t>Bank_customer_base</t>
  </si>
  <si>
    <t>Model_Val_Customer_Base</t>
  </si>
  <si>
    <t>GINI of Model</t>
  </si>
  <si>
    <t>Varible_Name</t>
  </si>
  <si>
    <t>Variable Calculation</t>
  </si>
  <si>
    <t>Amy Exclusion</t>
  </si>
  <si>
    <t>-0.493728 NA</t>
  </si>
  <si>
    <t>-1.00E+99 0.0107501</t>
  </si>
  <si>
    <t>2 301563</t>
  </si>
  <si>
    <t>9.779648 18.174802</t>
  </si>
  <si>
    <t>18.174B</t>
  </si>
  <si>
    <t>-0.508657 NA</t>
  </si>
  <si>
    <t>2 53981019</t>
  </si>
  <si>
    <t>-0.698045 NA</t>
  </si>
  <si>
    <t>-0.642275 NA</t>
  </si>
  <si>
    <t>0.420713 NA</t>
  </si>
  <si>
    <t>147 800339</t>
  </si>
  <si>
    <t>1.00E+$9</t>
  </si>
  <si>
    <t>-0475057 NA</t>
  </si>
  <si>
    <t>rt_atnw to_total_bank_borrowings_Latest_woe</t>
  </si>
  <si>
    <t>rt.atnw_to_total bank_borrowings_Latest woe</t>
  </si>
  <si>
    <t>rt_atnw_to_total bank_borrowings Latest woe</t>
  </si>
  <si>
    <t>rt_atnw_to_total_bank_borrowings_latest woe</t>
  </si>
  <si>
    <t>DSCR_Latest_woe</t>
  </si>
  <si>
    <t>DSCR Latest_woe</t>
  </si>
  <si>
    <t>DSCR Latest woe</t>
  </si>
  <si>
    <t>rt_revenue_to_wc_Latest_woe</t>
  </si>
  <si>
    <t>rt_revenue_to_wc Latest_woe</t>
  </si>
  <si>
    <t>rt_revenue to wc_Latest_woe</t>
  </si>
  <si>
    <t>rt_toi_to_net_sales_Latest woe</t>
  </si>
  <si>
    <t>QUICK_RATIO_Latest_industryScaled woe</t>
  </si>
  <si>
    <t>rt_cash_and_bank_balance_to_total_assets_woe</t>
  </si>
  <si>
    <t>inventory_days_latest_woe</t>
  </si>
  <si>
    <t>Mc_enq_12mo_woe</t>
  </si>
  <si>
    <t>mi_enqmsince_sec_woe</t>
  </si>
  <si>
    <t>Mc_util1_max_sq_woe</t>
  </si>
  <si>
    <t>Ac_rlen_mean_woe</t>
  </si>
  <si>
    <t>IN_util_dpd_recency_6mo_90plus_woe</t>
  </si>
  <si>
    <t>IN_secured_acct_ratio_woe</t>
  </si>
  <si>
    <t>wctl_util_3mo_max_woe</t>
  </si>
  <si>
    <t>MAX_dpd_15mo_max1_woe</t>
  </si>
  <si>
    <t>MAX_dpd_15mo_max1 woe</t>
  </si>
  <si>
    <t>MAX dpd_15mo_max1_woe</t>
  </si>
  <si>
    <t>MIN_msince2_DPD_0+ woe</t>
  </si>
  <si>
    <t>MAX_relationship_months woe</t>
  </si>
  <si>
    <t>new_sec_acc_6mo_woe</t>
  </si>
  <si>
    <t>.1.00E+99</t>
  </si>
  <si>
    <t>CASH_DB_TXN_TO_OVR_TXN</t>
  </si>
  <si>
    <t>AVG_CR_TXN_TO_DEBIT_TXN</t>
  </si>
  <si>
    <t>RT_CH_TXN_TO_TOT_TXN</t>
  </si>
  <si>
    <t>BALMARG_M1_M6_CURR_BAL</t>
  </si>
  <si>
    <t>AVG_MOM_GROWTH_CURR_BAL</t>
  </si>
  <si>
    <t>TOT_BOUNCES(I/W+O/W)_L6M</t>
  </si>
  <si>
    <t>AVG_RATIO_(CR/DT)_L6M</t>
  </si>
  <si>
    <t>Question code</t>
  </si>
  <si>
    <t>BO5</t>
  </si>
  <si>
    <t>BO28</t>
  </si>
  <si>
    <t>BO37</t>
  </si>
  <si>
    <t>OM8</t>
  </si>
  <si>
    <t>OMB</t>
  </si>
  <si>
    <t>BP01</t>
  </si>
  <si>
    <t>BS01</t>
  </si>
  <si>
    <t>BP05</t>
  </si>
  <si>
    <t>P01</t>
  </si>
  <si>
    <t>Option_non_combined</t>
  </si>
  <si>
    <t>Option_combined</t>
  </si>
  <si>
    <t>C07</t>
  </si>
  <si>
    <t>C14</t>
  </si>
  <si>
    <t>C19</t>
  </si>
  <si>
    <t>CR14</t>
  </si>
  <si>
    <t>CR02</t>
  </si>
  <si>
    <t>F18</t>
  </si>
  <si>
    <t>FO2</t>
  </si>
  <si>
    <t>F22</t>
  </si>
  <si>
    <t>F20</t>
  </si>
  <si>
    <t>F12</t>
  </si>
  <si>
    <t>F40</t>
  </si>
  <si>
    <t>C17</t>
  </si>
  <si>
    <t>CR05</t>
  </si>
  <si>
    <t>I1</t>
  </si>
  <si>
    <t>I8</t>
  </si>
  <si>
    <t>IM4</t>
  </si>
  <si>
    <t>IM9</t>
  </si>
  <si>
    <t>IM!4</t>
  </si>
  <si>
    <t>IM15</t>
  </si>
  <si>
    <t>IM16</t>
  </si>
  <si>
    <t>IM17</t>
  </si>
  <si>
    <t>IS2</t>
  </si>
  <si>
    <t>IS4</t>
  </si>
  <si>
    <t>IS6</t>
  </si>
  <si>
    <t>IS7</t>
  </si>
  <si>
    <t>IT4</t>
  </si>
  <si>
    <t>IT5</t>
  </si>
  <si>
    <t>IT6</t>
  </si>
  <si>
    <t>IT8</t>
  </si>
  <si>
    <t>IT9</t>
  </si>
  <si>
    <t>IT10</t>
  </si>
  <si>
    <t>Base QCA score</t>
  </si>
  <si>
    <t>Application ID</t>
  </si>
  <si>
    <t>msme_test_2</t>
  </si>
  <si>
    <t>Application Date</t>
  </si>
  <si>
    <t>State</t>
  </si>
  <si>
    <t>Zone</t>
  </si>
  <si>
    <t>Branch</t>
  </si>
  <si>
    <t>INDORE</t>
  </si>
  <si>
    <t>Company Name</t>
  </si>
  <si>
    <t>Test_case_</t>
  </si>
  <si>
    <t>Industry</t>
  </si>
  <si>
    <t>Manufacturing</t>
  </si>
  <si>
    <t>Ticket size scenario</t>
  </si>
  <si>
    <t>is_Bureau_Commercial_Present</t>
  </si>
  <si>
    <t>Max dpd in last 6 months from CIC rerport date</t>
  </si>
  <si>
    <t>Commercial Bureau</t>
  </si>
  <si>
    <t>Cash Flow</t>
  </si>
  <si>
    <t>BALMAG_M1 M6_CURR_BAL_woe</t>
  </si>
  <si>
    <t>MT75PERC_WD_COUNT_ M1_M9_CURR_BAL_woe</t>
  </si>
  <si>
    <t>AVG_M2_M7_MoM_Growth_MON_DR_CNT_Woe</t>
  </si>
  <si>
    <t>AVG_RATIO_M1_M6_CR_AMT_DR_AMT_woe</t>
  </si>
  <si>
    <t>Internal Deposit</t>
  </si>
  <si>
    <t>COMPANY_CATG_WOE</t>
  </si>
  <si>
    <t>mi_mf_dpdR_msince1_060+_woe</t>
  </si>
  <si>
    <t>Individual Bureau</t>
  </si>
  <si>
    <t>F01</t>
  </si>
  <si>
    <t>F06</t>
  </si>
  <si>
    <t>F02</t>
  </si>
  <si>
    <t>Base QCA</t>
  </si>
  <si>
    <t>Manufacturing QCA</t>
  </si>
  <si>
    <t>Services QCA</t>
  </si>
  <si>
    <t>Trading QCA</t>
  </si>
  <si>
    <t>Max dpd in last 12 months from cic report date</t>
  </si>
  <si>
    <t>ebitda</t>
  </si>
  <si>
    <t>is_total_worth_negative</t>
  </si>
  <si>
    <t>is_turnover_dip_greater_50%</t>
  </si>
  <si>
    <t>is_financial_present</t>
  </si>
  <si>
    <t>QUICK_RATIO_Latest_industryScaled_woe</t>
  </si>
  <si>
    <t>is_internal_present</t>
  </si>
  <si>
    <t>RATIO_M1_M3 CASH_DR CNT_DR CNT_woe</t>
  </si>
  <si>
    <t>rt_toi_to_net_sales_Latest_woe</t>
  </si>
  <si>
    <t>STDev_M2_M4_MoM_Growth_MON_MAX_BAL_woe</t>
  </si>
  <si>
    <t>is_bureau_individual_present</t>
  </si>
  <si>
    <t>any 90+ dpd in the last 12 months for any individual</t>
  </si>
  <si>
    <t>Maximum of (max dpd in last 6 months from report generation date) for all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</si>
</sst>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"/>
    <numFmt numFmtId="170" formatCode="0.0000000"/>
  </numFmts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0" fillId="2" borderId="0" xfId="0" applyFill="1"/>
    <xf numFmtId="0" fontId="2" fillId="2" borderId="0" xfId="0" applyFont="1" applyFill="1"/>
    <xf numFmtId="9" fontId="0" fillId="0" borderId="0" xfId="0" applyNumberFormat="1"/>
    <xf numFmtId="1" fontId="0" fillId="0" borderId="0" xfId="0" applyNumberFormat="1"/>
    <xf numFmtId="168" fontId="0" fillId="0" borderId="0" xfId="0" applyNumberFormat="1"/>
    <xf numFmtId="2" fontId="0" fillId="0" borderId="0" xfId="0" applyNumberFormat="1"/>
    <xf numFmtId="170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D1F3-A647-460D-A7F2-D6C1141C3C42}">
  <dimension ref="A1:AA39"/>
  <sheetViews>
    <sheetView workbookViewId="0">
      <selection activeCell="A8" sqref="A8"/>
    </sheetView>
  </sheetViews>
  <sheetFormatPr defaultRowHeight="13.5"/>
  <cols>
    <col min="1" max="1" width="12.25" bestFit="1" customWidth="1"/>
    <col min="2" max="2" width="17.0625" bestFit="1" customWidth="1"/>
    <col min="3" max="3" width="12.5" bestFit="1" customWidth="1"/>
    <col min="4" max="4" width="28.8125" bestFit="1" customWidth="1"/>
    <col min="5" max="5" width="34.125" bestFit="1" customWidth="1"/>
    <col min="6" max="6" width="17.3125" bestFit="1" customWidth="1"/>
    <col min="7" max="7" width="16.9375" bestFit="1" customWidth="1"/>
    <col min="8" max="8" width="7.3125" bestFit="1" customWidth="1"/>
    <col min="9" max="9" width="22.125" bestFit="1" customWidth="1"/>
    <col min="10" max="10" width="10.8125" bestFit="1" customWidth="1"/>
    <col min="11" max="11" width="10.125" bestFit="1" customWidth="1"/>
    <col min="12" max="12" width="6.5625" bestFit="1" customWidth="1"/>
    <col min="13" max="13" width="8.375" bestFit="1" customWidth="1"/>
    <col min="14" max="14" width="10.375" bestFit="1" customWidth="1"/>
    <col min="15" max="15" width="13.75" bestFit="1" customWidth="1"/>
    <col min="16" max="16" width="19.5" bestFit="1" customWidth="1"/>
    <col min="17" max="17" width="24.9375" bestFit="1" customWidth="1"/>
    <col min="18" max="18" width="24.625" bestFit="1" customWidth="1"/>
    <col min="19" max="19" width="12.5" bestFit="1" customWidth="1"/>
  </cols>
  <sheetData>
    <row r="1" spans="1:27" ht="13.9">
      <c r="A1" s="2" t="s">
        <v>59</v>
      </c>
      <c r="B1" s="2" t="s">
        <v>60</v>
      </c>
      <c r="C1" s="2" t="s">
        <v>61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7">
      <c r="D2" t="s">
        <v>75</v>
      </c>
      <c r="E2">
        <v>-0.78913999999999995</v>
      </c>
      <c r="F2" s="1">
        <v>-9.9999999999999997E+98</v>
      </c>
      <c r="G2">
        <v>0.5</v>
      </c>
      <c r="H2">
        <v>-0.78358320000000004</v>
      </c>
      <c r="I2">
        <v>2.1892233750000001</v>
      </c>
      <c r="J2">
        <v>0</v>
      </c>
      <c r="K2" t="s">
        <v>51</v>
      </c>
      <c r="L2" t="s">
        <v>52</v>
      </c>
      <c r="M2" t="s">
        <v>53</v>
      </c>
      <c r="N2" t="s">
        <v>54</v>
      </c>
      <c r="O2" s="4">
        <v>0.02</v>
      </c>
      <c r="U2" t="s">
        <v>75</v>
      </c>
      <c r="Z2" t="s">
        <v>42</v>
      </c>
      <c r="AA2">
        <v>-2.4238</v>
      </c>
    </row>
    <row r="3" spans="1:27">
      <c r="D3" t="s">
        <v>75</v>
      </c>
      <c r="E3">
        <v>-0.78913999999999995</v>
      </c>
      <c r="F3">
        <v>0.5</v>
      </c>
      <c r="G3">
        <v>1</v>
      </c>
      <c r="H3">
        <v>-0.37844870000000003</v>
      </c>
      <c r="I3">
        <v>2.1892233750000001</v>
      </c>
      <c r="J3">
        <v>0</v>
      </c>
      <c r="U3" t="s">
        <v>79</v>
      </c>
      <c r="Z3" t="s">
        <v>43</v>
      </c>
      <c r="AA3">
        <v>0.13097</v>
      </c>
    </row>
    <row r="4" spans="1:27">
      <c r="D4" t="s">
        <v>76</v>
      </c>
      <c r="E4">
        <v>-0.78913999999999995</v>
      </c>
      <c r="F4">
        <v>1</v>
      </c>
      <c r="G4">
        <v>6</v>
      </c>
      <c r="H4">
        <v>0.14421149999999999</v>
      </c>
      <c r="I4">
        <v>2.1892233750000001</v>
      </c>
      <c r="J4">
        <v>0</v>
      </c>
      <c r="U4" t="s">
        <v>82</v>
      </c>
      <c r="Z4" t="s">
        <v>44</v>
      </c>
      <c r="AA4">
        <v>-2.2928999999999999</v>
      </c>
    </row>
    <row r="5" spans="1:27">
      <c r="D5" t="s">
        <v>77</v>
      </c>
      <c r="E5">
        <v>-0.78913999999999995</v>
      </c>
      <c r="F5">
        <v>6</v>
      </c>
      <c r="G5" s="1">
        <v>9.9999999999999997E+98</v>
      </c>
      <c r="H5">
        <v>0.17708740000000001</v>
      </c>
      <c r="I5">
        <v>2.1892233750000001</v>
      </c>
      <c r="J5">
        <v>1</v>
      </c>
      <c r="U5" t="s">
        <v>85</v>
      </c>
      <c r="Z5" t="s">
        <v>45</v>
      </c>
    </row>
    <row r="6" spans="1:27">
      <c r="D6" t="s">
        <v>78</v>
      </c>
      <c r="E6">
        <v>-0.78913999999999995</v>
      </c>
      <c r="F6" t="s">
        <v>9</v>
      </c>
      <c r="G6" t="s">
        <v>9</v>
      </c>
      <c r="H6">
        <v>0</v>
      </c>
      <c r="I6">
        <v>2.1892233750000001</v>
      </c>
      <c r="J6">
        <v>0</v>
      </c>
      <c r="U6" t="s">
        <v>86</v>
      </c>
      <c r="Z6" t="s">
        <v>19</v>
      </c>
    </row>
    <row r="7" spans="1:27">
      <c r="D7" t="s">
        <v>79</v>
      </c>
      <c r="E7">
        <v>-0.493728</v>
      </c>
      <c r="F7" s="1">
        <v>-9.9999999999999997E+98</v>
      </c>
      <c r="G7">
        <v>1</v>
      </c>
      <c r="H7">
        <v>-0.69430170000000002</v>
      </c>
      <c r="I7">
        <v>2.2867830420000002</v>
      </c>
      <c r="J7">
        <v>0</v>
      </c>
      <c r="U7" t="s">
        <v>87</v>
      </c>
    </row>
    <row r="8" spans="1:27">
      <c r="D8" t="s">
        <v>80</v>
      </c>
      <c r="E8">
        <v>-0.493728</v>
      </c>
      <c r="F8">
        <v>1</v>
      </c>
      <c r="G8">
        <v>1.58</v>
      </c>
      <c r="H8">
        <v>-0.60389470000000001</v>
      </c>
      <c r="I8">
        <v>2.2867830420000002</v>
      </c>
      <c r="J8">
        <v>1</v>
      </c>
      <c r="U8" t="s">
        <v>88</v>
      </c>
    </row>
    <row r="9" spans="1:27">
      <c r="D9" t="s">
        <v>79</v>
      </c>
      <c r="E9">
        <v>-0.493728</v>
      </c>
      <c r="F9">
        <v>1.58</v>
      </c>
      <c r="G9">
        <v>2</v>
      </c>
      <c r="H9">
        <v>0.1143584</v>
      </c>
      <c r="I9">
        <v>2.2867830420000002</v>
      </c>
      <c r="J9">
        <v>0</v>
      </c>
    </row>
    <row r="10" spans="1:27">
      <c r="D10" t="s">
        <v>81</v>
      </c>
      <c r="E10">
        <v>-0.493728</v>
      </c>
      <c r="F10">
        <v>2</v>
      </c>
      <c r="G10" s="1">
        <v>9.9999999999999997E+98</v>
      </c>
      <c r="H10">
        <v>0.154223</v>
      </c>
      <c r="I10">
        <v>2.2867830420000002</v>
      </c>
      <c r="J10">
        <v>0</v>
      </c>
    </row>
    <row r="11" spans="1:27">
      <c r="D11" t="s">
        <v>79</v>
      </c>
      <c r="E11">
        <v>-0.493728</v>
      </c>
      <c r="F11" t="s">
        <v>9</v>
      </c>
      <c r="G11" t="s">
        <v>9</v>
      </c>
      <c r="H11">
        <v>0</v>
      </c>
      <c r="I11">
        <v>2.2867830420000002</v>
      </c>
      <c r="J11">
        <v>0</v>
      </c>
    </row>
    <row r="12" spans="1:27">
      <c r="D12" t="s">
        <v>82</v>
      </c>
      <c r="E12">
        <v>-0.50865700000000003</v>
      </c>
      <c r="F12" s="1">
        <v>-9.9999999999999997E+98</v>
      </c>
      <c r="G12">
        <v>1.07501E-2</v>
      </c>
      <c r="H12">
        <v>-0.4702712</v>
      </c>
      <c r="I12">
        <v>2.5398101899999999</v>
      </c>
      <c r="J12">
        <v>0</v>
      </c>
    </row>
    <row r="13" spans="1:27">
      <c r="D13" t="s">
        <v>83</v>
      </c>
      <c r="E13">
        <v>-0.50865700000000003</v>
      </c>
      <c r="F13">
        <v>1.0749999999999999E-2</v>
      </c>
      <c r="G13">
        <v>2.3015633000000002</v>
      </c>
      <c r="H13">
        <v>-0.14179149999999999</v>
      </c>
      <c r="I13">
        <v>2.5398101899999999</v>
      </c>
      <c r="J13">
        <v>1</v>
      </c>
    </row>
    <row r="14" spans="1:27">
      <c r="D14" t="s">
        <v>82</v>
      </c>
      <c r="E14">
        <v>-0.50865700000000003</v>
      </c>
      <c r="F14">
        <v>2.3015629999999998</v>
      </c>
      <c r="G14">
        <v>4.6007468999999999</v>
      </c>
      <c r="H14">
        <v>-0.1174432</v>
      </c>
      <c r="I14">
        <v>2.5398101899999999</v>
      </c>
      <c r="J14">
        <v>0</v>
      </c>
    </row>
    <row r="15" spans="1:27">
      <c r="D15" t="s">
        <v>82</v>
      </c>
      <c r="E15">
        <v>-0.50865700000000003</v>
      </c>
      <c r="F15">
        <v>4.6007470000000001</v>
      </c>
      <c r="G15">
        <v>9.7796482999999998</v>
      </c>
      <c r="H15">
        <v>-8.9240600000000003E-2</v>
      </c>
      <c r="I15">
        <v>2.5398101899999999</v>
      </c>
      <c r="J15">
        <v>0</v>
      </c>
    </row>
    <row r="16" spans="1:27">
      <c r="D16" t="s">
        <v>84</v>
      </c>
      <c r="E16">
        <v>-0.50865700000000003</v>
      </c>
      <c r="F16">
        <v>9.7796479999999999</v>
      </c>
      <c r="G16">
        <v>18.174802</v>
      </c>
      <c r="H16">
        <v>0.24219170000000001</v>
      </c>
      <c r="I16">
        <v>2.5398101899999999</v>
      </c>
      <c r="J16">
        <v>0</v>
      </c>
    </row>
    <row r="17" spans="4:10">
      <c r="D17" t="s">
        <v>84</v>
      </c>
      <c r="E17">
        <v>-0.50865700000000003</v>
      </c>
      <c r="F17">
        <v>18.174800000000001</v>
      </c>
      <c r="G17" s="1">
        <v>9.9999999999999997E+98</v>
      </c>
      <c r="H17">
        <v>0.87346349999999995</v>
      </c>
      <c r="I17">
        <v>2.5398101899999999</v>
      </c>
      <c r="J17">
        <v>0</v>
      </c>
    </row>
    <row r="18" spans="4:10">
      <c r="D18" t="s">
        <v>84</v>
      </c>
      <c r="E18">
        <v>-0.50865700000000003</v>
      </c>
      <c r="F18" t="s">
        <v>9</v>
      </c>
      <c r="G18" t="s">
        <v>9</v>
      </c>
      <c r="H18">
        <v>0</v>
      </c>
      <c r="I18">
        <v>2.5398101899999999</v>
      </c>
      <c r="J18">
        <v>0</v>
      </c>
    </row>
    <row r="19" spans="4:10">
      <c r="D19" t="s">
        <v>85</v>
      </c>
      <c r="E19">
        <v>-0.69804600000000006</v>
      </c>
      <c r="F19" s="1">
        <v>-9.9999999999999997E+98</v>
      </c>
      <c r="G19">
        <v>0.25</v>
      </c>
      <c r="H19">
        <v>0.38795570000000001</v>
      </c>
      <c r="I19">
        <v>0.87904891100000004</v>
      </c>
      <c r="J19">
        <v>0</v>
      </c>
    </row>
    <row r="20" spans="4:10">
      <c r="D20" t="s">
        <v>85</v>
      </c>
      <c r="E20">
        <v>-0.69804600000000006</v>
      </c>
      <c r="F20">
        <v>0.25</v>
      </c>
      <c r="G20">
        <v>0.5</v>
      </c>
      <c r="H20">
        <v>0.30394860000000001</v>
      </c>
      <c r="I20">
        <v>0.87904891100000004</v>
      </c>
      <c r="J20">
        <v>0</v>
      </c>
    </row>
    <row r="21" spans="4:10">
      <c r="D21" t="s">
        <v>85</v>
      </c>
      <c r="E21">
        <v>-0.69804500000000003</v>
      </c>
      <c r="F21">
        <v>0.5</v>
      </c>
      <c r="G21">
        <v>1</v>
      </c>
      <c r="H21">
        <v>-7.7095700000000003E-2</v>
      </c>
      <c r="I21">
        <v>0.87904891100000004</v>
      </c>
      <c r="J21">
        <v>1</v>
      </c>
    </row>
    <row r="22" spans="4:10">
      <c r="D22" t="s">
        <v>85</v>
      </c>
      <c r="E22">
        <v>-0.69804600000000006</v>
      </c>
      <c r="F22">
        <v>1</v>
      </c>
      <c r="G22" s="1">
        <v>9.9999999999999997E+98</v>
      </c>
      <c r="H22">
        <v>-0.63671149999999999</v>
      </c>
      <c r="I22">
        <v>0.87904891100000004</v>
      </c>
      <c r="J22">
        <v>0</v>
      </c>
    </row>
    <row r="23" spans="4:10">
      <c r="D23" t="s">
        <v>85</v>
      </c>
      <c r="E23">
        <v>-0.69804500000000003</v>
      </c>
      <c r="F23" t="s">
        <v>9</v>
      </c>
      <c r="G23" t="s">
        <v>9</v>
      </c>
      <c r="H23">
        <v>0</v>
      </c>
      <c r="I23">
        <v>0.87904891100000004</v>
      </c>
      <c r="J23">
        <v>0</v>
      </c>
    </row>
    <row r="24" spans="4:10">
      <c r="D24" t="s">
        <v>86</v>
      </c>
      <c r="E24">
        <v>-0.64227500000000004</v>
      </c>
      <c r="F24" s="1">
        <v>-9.9999999999999997E+98</v>
      </c>
      <c r="G24">
        <v>0.2</v>
      </c>
      <c r="H24">
        <v>0.89724250000000005</v>
      </c>
      <c r="I24">
        <v>1.2632526669999999</v>
      </c>
      <c r="J24">
        <v>1</v>
      </c>
    </row>
    <row r="25" spans="4:10">
      <c r="D25" t="s">
        <v>86</v>
      </c>
      <c r="E25">
        <v>-0.64227500000000004</v>
      </c>
      <c r="F25">
        <v>0.2</v>
      </c>
      <c r="G25">
        <v>0.6</v>
      </c>
      <c r="H25">
        <v>-0.19993730000000001</v>
      </c>
      <c r="I25">
        <v>1.2632526669999999</v>
      </c>
      <c r="J25">
        <v>0</v>
      </c>
    </row>
    <row r="26" spans="4:10">
      <c r="D26" t="s">
        <v>86</v>
      </c>
      <c r="E26">
        <v>-0.64227500000000004</v>
      </c>
      <c r="F26">
        <v>0.6</v>
      </c>
      <c r="G26">
        <v>2.5</v>
      </c>
      <c r="H26">
        <v>7.4214600000000006E-2</v>
      </c>
      <c r="I26">
        <v>1.2632526669999999</v>
      </c>
      <c r="J26">
        <v>0</v>
      </c>
    </row>
    <row r="27" spans="4:10">
      <c r="D27" t="s">
        <v>86</v>
      </c>
      <c r="E27">
        <v>-0.64227500000000004</v>
      </c>
      <c r="F27">
        <v>2.5</v>
      </c>
      <c r="G27" s="1">
        <v>9.9999999999999997E+98</v>
      </c>
      <c r="H27">
        <v>0.46023140000000001</v>
      </c>
      <c r="I27">
        <v>1.2632526669999999</v>
      </c>
      <c r="J27">
        <v>0</v>
      </c>
    </row>
    <row r="28" spans="4:10">
      <c r="D28" t="s">
        <v>86</v>
      </c>
      <c r="E28">
        <v>-0.64227500000000004</v>
      </c>
      <c r="F28" t="s">
        <v>9</v>
      </c>
      <c r="G28" t="s">
        <v>9</v>
      </c>
      <c r="H28">
        <v>0</v>
      </c>
      <c r="I28">
        <v>1.2632526669999999</v>
      </c>
      <c r="J28">
        <v>0</v>
      </c>
    </row>
    <row r="29" spans="4:10">
      <c r="D29" t="s">
        <v>87</v>
      </c>
      <c r="E29">
        <v>-0.420713</v>
      </c>
      <c r="F29" s="1">
        <v>-9.9999999999999997E+98</v>
      </c>
      <c r="G29">
        <v>0.02</v>
      </c>
      <c r="H29">
        <v>-0.31992720000000002</v>
      </c>
      <c r="I29">
        <v>8.5284249999999992E-3</v>
      </c>
    </row>
    <row r="30" spans="4:10">
      <c r="D30" t="s">
        <v>87</v>
      </c>
      <c r="E30">
        <v>-0.420713</v>
      </c>
      <c r="F30">
        <v>0.02</v>
      </c>
      <c r="G30">
        <v>0.1</v>
      </c>
      <c r="H30">
        <v>0.21932360000000001</v>
      </c>
      <c r="I30">
        <v>8.5284249999999992E-3</v>
      </c>
    </row>
    <row r="31" spans="4:10">
      <c r="D31" t="s">
        <v>87</v>
      </c>
      <c r="E31">
        <v>-0.420713</v>
      </c>
      <c r="F31">
        <v>0.1</v>
      </c>
      <c r="G31">
        <v>0.2</v>
      </c>
      <c r="H31">
        <v>0.2966799</v>
      </c>
      <c r="I31">
        <v>8.5284249999999992E-3</v>
      </c>
    </row>
    <row r="32" spans="4:10">
      <c r="D32" t="s">
        <v>87</v>
      </c>
      <c r="E32">
        <v>-0.420713</v>
      </c>
      <c r="F32">
        <v>0.2</v>
      </c>
      <c r="G32" s="1">
        <v>9.9999999999999997E+98</v>
      </c>
      <c r="H32">
        <v>0.43556309999999998</v>
      </c>
      <c r="I32">
        <v>8.5284249999999992E-3</v>
      </c>
    </row>
    <row r="33" spans="4:9">
      <c r="D33" t="s">
        <v>87</v>
      </c>
      <c r="E33">
        <v>-0.42071799999999998</v>
      </c>
      <c r="F33" t="s">
        <v>9</v>
      </c>
      <c r="G33" t="s">
        <v>9</v>
      </c>
      <c r="H33">
        <v>0</v>
      </c>
      <c r="I33">
        <v>8.5284249999999992E-3</v>
      </c>
    </row>
    <row r="34" spans="4:9">
      <c r="D34" t="s">
        <v>88</v>
      </c>
      <c r="E34">
        <v>-0.47305700000000001</v>
      </c>
      <c r="F34" s="1">
        <v>-9.9999999999999997E+98</v>
      </c>
      <c r="G34">
        <v>15</v>
      </c>
      <c r="H34">
        <v>0.6696358</v>
      </c>
      <c r="I34">
        <v>147.80033900000001</v>
      </c>
    </row>
    <row r="35" spans="4:9">
      <c r="D35" t="s">
        <v>88</v>
      </c>
      <c r="E35">
        <v>-0.47305700000000001</v>
      </c>
      <c r="F35">
        <v>15</v>
      </c>
      <c r="G35">
        <v>30</v>
      </c>
      <c r="H35">
        <v>0.34244839999999999</v>
      </c>
      <c r="I35">
        <v>147.80033900000001</v>
      </c>
    </row>
    <row r="36" spans="4:9">
      <c r="D36" t="s">
        <v>88</v>
      </c>
      <c r="E36">
        <v>-0.47305700000000001</v>
      </c>
      <c r="F36">
        <v>30</v>
      </c>
      <c r="G36">
        <v>90</v>
      </c>
      <c r="H36">
        <v>0.20690990000000001</v>
      </c>
      <c r="I36">
        <v>147.80033900000001</v>
      </c>
    </row>
    <row r="37" spans="4:9">
      <c r="D37" t="s">
        <v>88</v>
      </c>
      <c r="E37">
        <v>-0.47305700000000001</v>
      </c>
      <c r="F37">
        <v>90</v>
      </c>
      <c r="G37">
        <v>150</v>
      </c>
      <c r="H37">
        <v>-0.19226090000000001</v>
      </c>
      <c r="I37">
        <v>147.80033900000001</v>
      </c>
    </row>
    <row r="38" spans="4:9">
      <c r="D38" t="s">
        <v>88</v>
      </c>
      <c r="E38">
        <v>-0.47305700000000001</v>
      </c>
      <c r="F38">
        <v>150</v>
      </c>
      <c r="G38" s="1">
        <v>9.9999999999999997E+98</v>
      </c>
      <c r="H38">
        <v>0.59999100000000005</v>
      </c>
      <c r="I38">
        <v>147.80033900000001</v>
      </c>
    </row>
    <row r="39" spans="4:9">
      <c r="D39" t="s">
        <v>88</v>
      </c>
      <c r="E39">
        <v>-0.47305700000000001</v>
      </c>
      <c r="F39" t="s">
        <v>9</v>
      </c>
      <c r="G39" t="s">
        <v>9</v>
      </c>
      <c r="H39">
        <v>0</v>
      </c>
      <c r="I39">
        <v>147.80033900000001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EF69-8E38-4672-BFEE-2ACA7BE21DBF}">
  <dimension ref="A1"/>
  <sheetViews>
    <sheetView workbookViewId="0"/>
  </sheetViews>
  <sheetFormatPr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2321-4D6C-46DA-B8A8-D91A341FEED3}">
  <dimension ref="A1:G2"/>
  <sheetViews>
    <sheetView workbookViewId="0">
      <selection activeCell="A2" sqref="A2"/>
    </sheetView>
  </sheetViews>
  <sheetFormatPr defaultRowHeight="13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9F58-318F-4609-AAB8-4F317EF53573}">
  <dimension ref="A1:AA28"/>
  <sheetViews>
    <sheetView topLeftCell="J1" workbookViewId="0">
      <selection activeCell="V2" sqref="V2:V6"/>
    </sheetView>
  </sheetViews>
  <sheetFormatPr defaultRowHeight="13.5"/>
  <cols>
    <col min="1" max="1" width="12.25" bestFit="1" customWidth="1"/>
    <col min="2" max="2" width="17.0625" bestFit="1" customWidth="1"/>
    <col min="3" max="3" width="12.5" bestFit="1" customWidth="1"/>
    <col min="4" max="4" width="28.8125" bestFit="1" customWidth="1"/>
    <col min="5" max="5" width="34.125" bestFit="1" customWidth="1"/>
    <col min="6" max="6" width="17.3125" bestFit="1" customWidth="1"/>
    <col min="7" max="7" width="16.9375" bestFit="1" customWidth="1"/>
    <col min="8" max="8" width="7.3125" bestFit="1" customWidth="1"/>
    <col min="9" max="9" width="22.125" bestFit="1" customWidth="1"/>
    <col min="10" max="10" width="10.8125" bestFit="1" customWidth="1"/>
    <col min="11" max="11" width="10.125" bestFit="1" customWidth="1"/>
    <col min="12" max="12" width="6.5625" bestFit="1" customWidth="1"/>
    <col min="13" max="13" width="8.375" bestFit="1" customWidth="1"/>
    <col min="14" max="14" width="10.375" bestFit="1" customWidth="1"/>
    <col min="15" max="15" width="13.75" bestFit="1" customWidth="1"/>
    <col min="16" max="16" width="19.5" bestFit="1" customWidth="1"/>
    <col min="17" max="17" width="24.9375" bestFit="1" customWidth="1"/>
    <col min="18" max="18" width="24.625" bestFit="1" customWidth="1"/>
    <col min="19" max="19" width="12.5" bestFit="1" customWidth="1"/>
  </cols>
  <sheetData>
    <row r="1" spans="1:27" ht="13.9">
      <c r="A1" s="2" t="s">
        <v>59</v>
      </c>
      <c r="B1" s="2" t="s">
        <v>60</v>
      </c>
      <c r="C1" s="2" t="s">
        <v>61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7">
      <c r="D2" t="s">
        <v>36</v>
      </c>
      <c r="E2">
        <v>-2.0704088</v>
      </c>
      <c r="F2" s="1">
        <v>0</v>
      </c>
      <c r="G2">
        <v>0.02</v>
      </c>
      <c r="H2">
        <v>-6.9000000000000006E-2</v>
      </c>
      <c r="I2">
        <v>0.35347086900000002</v>
      </c>
      <c r="J2">
        <v>0</v>
      </c>
      <c r="K2" t="s">
        <v>51</v>
      </c>
      <c r="L2" t="s">
        <v>52</v>
      </c>
      <c r="M2" t="s">
        <v>53</v>
      </c>
      <c r="N2" t="s">
        <v>54</v>
      </c>
      <c r="O2" s="4">
        <v>0.02</v>
      </c>
      <c r="V2" t="s">
        <v>36</v>
      </c>
      <c r="Z2" t="s">
        <v>42</v>
      </c>
      <c r="AA2">
        <v>-2.4053</v>
      </c>
    </row>
    <row r="3" spans="1:27">
      <c r="D3" t="s">
        <v>36</v>
      </c>
      <c r="E3">
        <v>-2.0704088</v>
      </c>
      <c r="F3">
        <v>0.02</v>
      </c>
      <c r="G3">
        <v>0.09</v>
      </c>
      <c r="H3">
        <v>-4.2900000000000001E-2</v>
      </c>
      <c r="I3">
        <v>0.35347086900000002</v>
      </c>
      <c r="J3">
        <v>0</v>
      </c>
      <c r="V3" t="s">
        <v>37</v>
      </c>
      <c r="Z3" t="s">
        <v>43</v>
      </c>
      <c r="AA3">
        <v>0.11434</v>
      </c>
    </row>
    <row r="4" spans="1:27">
      <c r="D4" t="s">
        <v>36</v>
      </c>
      <c r="E4">
        <v>-2.0704088</v>
      </c>
      <c r="F4">
        <v>0.09</v>
      </c>
      <c r="G4">
        <v>0.3</v>
      </c>
      <c r="H4">
        <v>-3.5000000000000001E-3</v>
      </c>
      <c r="I4">
        <v>0.35347086900000002</v>
      </c>
      <c r="J4">
        <v>0</v>
      </c>
      <c r="V4" t="s">
        <v>38</v>
      </c>
      <c r="Z4" t="s">
        <v>44</v>
      </c>
      <c r="AA4">
        <v>-2.2909600000000001</v>
      </c>
    </row>
    <row r="5" spans="1:27">
      <c r="D5" t="s">
        <v>36</v>
      </c>
      <c r="E5">
        <v>-2.0704088</v>
      </c>
      <c r="F5">
        <v>0.3</v>
      </c>
      <c r="G5" s="1">
        <v>9.9999999999999997E+98</v>
      </c>
      <c r="H5">
        <v>8.4500000000000006E-2</v>
      </c>
      <c r="I5">
        <v>0.35347086900000002</v>
      </c>
      <c r="J5">
        <v>1</v>
      </c>
      <c r="V5" t="s">
        <v>175</v>
      </c>
      <c r="Z5" t="s">
        <v>45</v>
      </c>
    </row>
    <row r="6" spans="1:27">
      <c r="D6" t="s">
        <v>36</v>
      </c>
      <c r="E6">
        <v>2.0704088</v>
      </c>
      <c r="F6" t="s">
        <v>9</v>
      </c>
      <c r="G6" t="s">
        <v>9</v>
      </c>
      <c r="H6">
        <v>0</v>
      </c>
      <c r="I6">
        <v>0.35347086900000002</v>
      </c>
      <c r="J6">
        <v>0</v>
      </c>
      <c r="V6" t="s">
        <v>39</v>
      </c>
      <c r="Z6" t="s">
        <v>19</v>
      </c>
    </row>
    <row r="7" spans="1:27">
      <c r="D7" t="s">
        <v>37</v>
      </c>
      <c r="E7">
        <v>-0.83359119999999998</v>
      </c>
      <c r="F7" t="s">
        <v>23</v>
      </c>
      <c r="G7" t="s">
        <v>23</v>
      </c>
      <c r="H7">
        <v>0.29170000000000001</v>
      </c>
      <c r="I7" t="s">
        <v>24</v>
      </c>
      <c r="J7">
        <v>0</v>
      </c>
    </row>
    <row r="8" spans="1:27">
      <c r="D8" t="s">
        <v>37</v>
      </c>
      <c r="E8">
        <v>-0.83359119999999998</v>
      </c>
      <c r="F8" t="s">
        <v>26</v>
      </c>
      <c r="G8" t="s">
        <v>24</v>
      </c>
      <c r="H8">
        <v>-0.20480000000000001</v>
      </c>
      <c r="I8" t="s">
        <v>24</v>
      </c>
      <c r="J8">
        <v>1</v>
      </c>
    </row>
    <row r="9" spans="1:27">
      <c r="D9" t="s">
        <v>37</v>
      </c>
      <c r="E9">
        <v>-0.83359119999999998</v>
      </c>
      <c r="F9" t="s">
        <v>27</v>
      </c>
      <c r="G9" t="s">
        <v>10</v>
      </c>
      <c r="H9">
        <v>0.36609999999999998</v>
      </c>
      <c r="I9" t="s">
        <v>24</v>
      </c>
      <c r="J9">
        <v>0</v>
      </c>
    </row>
    <row r="10" spans="1:27">
      <c r="D10" t="s">
        <v>37</v>
      </c>
      <c r="E10">
        <v>-0.83359119999999998</v>
      </c>
      <c r="F10" t="s">
        <v>28</v>
      </c>
      <c r="G10" t="s">
        <v>11</v>
      </c>
      <c r="H10">
        <v>0.29899999999999999</v>
      </c>
      <c r="I10" t="s">
        <v>24</v>
      </c>
      <c r="J10">
        <v>0</v>
      </c>
    </row>
    <row r="11" spans="1:27">
      <c r="D11" t="s">
        <v>37</v>
      </c>
      <c r="E11">
        <v>-0.83359119999999998</v>
      </c>
      <c r="F11" t="s">
        <v>29</v>
      </c>
      <c r="G11" t="s">
        <v>29</v>
      </c>
      <c r="H11">
        <v>0</v>
      </c>
      <c r="I11" t="s">
        <v>24</v>
      </c>
      <c r="J11">
        <v>0</v>
      </c>
    </row>
    <row r="12" spans="1:27">
      <c r="D12" t="s">
        <v>38</v>
      </c>
      <c r="E12">
        <v>-0.96274649999999995</v>
      </c>
      <c r="F12" t="s">
        <v>30</v>
      </c>
      <c r="G12" t="s">
        <v>12</v>
      </c>
      <c r="H12">
        <v>1.2490000000000001</v>
      </c>
      <c r="I12" t="s">
        <v>25</v>
      </c>
      <c r="J12">
        <v>0</v>
      </c>
    </row>
    <row r="13" spans="1:27">
      <c r="D13" t="s">
        <v>38</v>
      </c>
      <c r="E13">
        <v>-0.96274550000000003</v>
      </c>
      <c r="F13" t="s">
        <v>31</v>
      </c>
      <c r="G13" t="s">
        <v>32</v>
      </c>
      <c r="H13">
        <v>7.9699999999999993E-2</v>
      </c>
      <c r="I13" t="s">
        <v>25</v>
      </c>
      <c r="J13">
        <v>1</v>
      </c>
    </row>
    <row r="14" spans="1:27">
      <c r="D14" t="s">
        <v>38</v>
      </c>
      <c r="E14">
        <v>-0.96274649999999995</v>
      </c>
      <c r="F14" t="s">
        <v>33</v>
      </c>
      <c r="G14" t="s">
        <v>13</v>
      </c>
      <c r="H14">
        <v>-0.1678</v>
      </c>
      <c r="I14" t="s">
        <v>25</v>
      </c>
      <c r="J14">
        <v>0</v>
      </c>
    </row>
    <row r="15" spans="1:27">
      <c r="D15" t="s">
        <v>38</v>
      </c>
      <c r="E15">
        <v>-0.96274550000000003</v>
      </c>
      <c r="F15" t="s">
        <v>34</v>
      </c>
      <c r="G15" t="s">
        <v>14</v>
      </c>
      <c r="H15">
        <v>-4327</v>
      </c>
      <c r="I15" t="s">
        <v>25</v>
      </c>
      <c r="J15">
        <v>0</v>
      </c>
    </row>
    <row r="16" spans="1:27">
      <c r="D16" t="s">
        <v>38</v>
      </c>
      <c r="E16">
        <v>-9627465</v>
      </c>
      <c r="F16" t="s">
        <v>28</v>
      </c>
      <c r="G16" t="s">
        <v>11</v>
      </c>
      <c r="H16">
        <v>0.13619999999999999</v>
      </c>
      <c r="I16" t="s">
        <v>25</v>
      </c>
      <c r="J16">
        <v>0</v>
      </c>
    </row>
    <row r="17" spans="4:10">
      <c r="D17" t="s">
        <v>38</v>
      </c>
      <c r="E17">
        <v>-0.95274650000000005</v>
      </c>
      <c r="F17" t="s">
        <v>35</v>
      </c>
      <c r="G17" t="s">
        <v>15</v>
      </c>
      <c r="H17">
        <v>0</v>
      </c>
      <c r="I17" t="s">
        <v>25</v>
      </c>
      <c r="J17">
        <v>0</v>
      </c>
    </row>
    <row r="18" spans="4:10">
      <c r="D18" t="s">
        <v>38</v>
      </c>
      <c r="E18">
        <v>-0.96274649999999995</v>
      </c>
      <c r="F18" t="s">
        <v>29</v>
      </c>
      <c r="G18" t="s">
        <v>9</v>
      </c>
      <c r="H18">
        <v>0</v>
      </c>
      <c r="I18" t="s">
        <v>25</v>
      </c>
      <c r="J18">
        <v>0</v>
      </c>
    </row>
    <row r="19" spans="4:10">
      <c r="D19" t="s">
        <v>175</v>
      </c>
      <c r="E19">
        <v>-1.0774083000000001</v>
      </c>
      <c r="F19" t="s">
        <v>16</v>
      </c>
      <c r="G19" t="s">
        <v>16</v>
      </c>
      <c r="H19">
        <v>0.3382</v>
      </c>
      <c r="I19" t="s">
        <v>18</v>
      </c>
      <c r="J19">
        <v>0</v>
      </c>
    </row>
    <row r="20" spans="4:10">
      <c r="D20" t="s">
        <v>175</v>
      </c>
      <c r="E20">
        <v>-10774083</v>
      </c>
      <c r="F20" t="s">
        <v>17</v>
      </c>
      <c r="G20" t="s">
        <v>17</v>
      </c>
      <c r="H20">
        <v>-8.6300000000000002E-2</v>
      </c>
      <c r="I20" t="s">
        <v>18</v>
      </c>
      <c r="J20">
        <v>0</v>
      </c>
    </row>
    <row r="21" spans="4:10">
      <c r="D21" t="s">
        <v>175</v>
      </c>
      <c r="E21">
        <v>-10774083</v>
      </c>
      <c r="F21" t="s">
        <v>18</v>
      </c>
      <c r="G21" t="s">
        <v>18</v>
      </c>
      <c r="H21">
        <v>-0.1191</v>
      </c>
      <c r="I21" t="s">
        <v>18</v>
      </c>
      <c r="J21">
        <v>1</v>
      </c>
    </row>
    <row r="22" spans="4:10">
      <c r="D22" t="s">
        <v>175</v>
      </c>
      <c r="E22">
        <v>-10774083</v>
      </c>
      <c r="F22" t="s">
        <v>11</v>
      </c>
      <c r="G22" t="s">
        <v>11</v>
      </c>
      <c r="H22">
        <v>-0.1053</v>
      </c>
      <c r="I22" t="s">
        <v>18</v>
      </c>
      <c r="J22">
        <v>0</v>
      </c>
    </row>
    <row r="23" spans="4:10">
      <c r="D23" t="s">
        <v>175</v>
      </c>
      <c r="E23">
        <v>-10774083</v>
      </c>
      <c r="F23" t="s">
        <v>9</v>
      </c>
      <c r="H23">
        <v>0</v>
      </c>
      <c r="I23" t="s">
        <v>18</v>
      </c>
      <c r="J23">
        <v>0</v>
      </c>
    </row>
    <row r="24" spans="4:10">
      <c r="D24" t="s">
        <v>39</v>
      </c>
      <c r="E24">
        <v>-1.1287910999999999</v>
      </c>
      <c r="F24" s="1">
        <v>0</v>
      </c>
      <c r="G24">
        <v>0.5</v>
      </c>
      <c r="H24">
        <v>-0.1416</v>
      </c>
      <c r="I24">
        <v>0</v>
      </c>
      <c r="J24">
        <v>1</v>
      </c>
    </row>
    <row r="25" spans="4:10">
      <c r="D25" t="s">
        <v>39</v>
      </c>
      <c r="E25">
        <v>-1.1287910999999999</v>
      </c>
      <c r="F25">
        <v>0.5</v>
      </c>
      <c r="G25">
        <v>2</v>
      </c>
      <c r="H25">
        <v>-6.9099999999999995E-2</v>
      </c>
      <c r="I25">
        <v>0</v>
      </c>
      <c r="J25">
        <v>0</v>
      </c>
    </row>
    <row r="26" spans="4:10">
      <c r="D26" t="s">
        <v>39</v>
      </c>
      <c r="E26">
        <v>-1.1287910999999999</v>
      </c>
      <c r="F26">
        <v>2</v>
      </c>
      <c r="G26">
        <v>5</v>
      </c>
      <c r="H26">
        <v>8.09E-2</v>
      </c>
      <c r="I26">
        <v>0</v>
      </c>
      <c r="J26">
        <v>0</v>
      </c>
    </row>
    <row r="27" spans="4:10">
      <c r="D27" t="s">
        <v>39</v>
      </c>
      <c r="E27">
        <v>-1.1287910999999999</v>
      </c>
      <c r="F27">
        <v>5</v>
      </c>
      <c r="G27" s="1">
        <v>9.9999999999999997E+98</v>
      </c>
      <c r="H27">
        <v>0.20039999999999999</v>
      </c>
      <c r="I27">
        <v>0</v>
      </c>
      <c r="J27">
        <v>0</v>
      </c>
    </row>
    <row r="28" spans="4:10">
      <c r="D28" t="s">
        <v>39</v>
      </c>
      <c r="E28">
        <v>-1.1287910999999999</v>
      </c>
      <c r="F28" t="s">
        <v>9</v>
      </c>
      <c r="G28" t="s">
        <v>9</v>
      </c>
      <c r="H28">
        <v>0</v>
      </c>
      <c r="I28">
        <v>0</v>
      </c>
      <c r="J28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6F9A-87DC-4DD8-9669-135B398378A8}">
  <dimension ref="A1:V26"/>
  <sheetViews>
    <sheetView workbookViewId="0">
      <selection activeCell="C26" sqref="C26"/>
    </sheetView>
  </sheetViews>
  <sheetFormatPr defaultRowHeight="13.5"/>
  <cols>
    <col min="4" max="4" width="44.875" bestFit="1" customWidth="1"/>
  </cols>
  <sheetData>
    <row r="1" spans="1:22" ht="13.9">
      <c r="A1" s="2" t="s">
        <v>59</v>
      </c>
      <c r="B1" s="2" t="s">
        <v>60</v>
      </c>
      <c r="C1" s="2" t="s">
        <v>61</v>
      </c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2">
      <c r="D2" t="s">
        <v>170</v>
      </c>
      <c r="E2">
        <v>-0.89903120000000003</v>
      </c>
      <c r="F2" s="1">
        <v>-9.9999999999999997E+98</v>
      </c>
      <c r="G2">
        <v>0.25</v>
      </c>
      <c r="H2">
        <v>-0.15054680000000001</v>
      </c>
    </row>
    <row r="3" spans="1:22">
      <c r="D3" t="s">
        <v>170</v>
      </c>
      <c r="E3">
        <v>-0.89903120000000003</v>
      </c>
      <c r="F3">
        <v>0.25</v>
      </c>
      <c r="G3">
        <v>0.5</v>
      </c>
      <c r="H3">
        <v>0.55759970000000003</v>
      </c>
      <c r="V3" t="s">
        <v>170</v>
      </c>
    </row>
    <row r="4" spans="1:22">
      <c r="D4" t="s">
        <v>170</v>
      </c>
      <c r="E4">
        <v>-0.89903120000000003</v>
      </c>
      <c r="F4">
        <v>0.5</v>
      </c>
      <c r="G4" s="1">
        <v>9.9999999999999997E+98</v>
      </c>
      <c r="H4">
        <v>1.5669006999999999</v>
      </c>
      <c r="V4" t="s">
        <v>192</v>
      </c>
    </row>
    <row r="5" spans="1:22">
      <c r="D5" t="s">
        <v>170</v>
      </c>
      <c r="E5">
        <v>-0.89903120000000003</v>
      </c>
      <c r="F5" t="s">
        <v>9</v>
      </c>
      <c r="G5" t="s">
        <v>9</v>
      </c>
      <c r="H5">
        <v>0</v>
      </c>
      <c r="V5" t="s">
        <v>194</v>
      </c>
    </row>
    <row r="6" spans="1:22">
      <c r="D6" t="s">
        <v>192</v>
      </c>
      <c r="E6">
        <v>-1.4478949000000001</v>
      </c>
      <c r="F6" s="1">
        <v>-9.9999999999999997E+98</v>
      </c>
      <c r="G6">
        <v>2.9316269999999998E-2</v>
      </c>
      <c r="H6">
        <v>5.3468399999999999E-2</v>
      </c>
      <c r="V6" t="s">
        <v>171</v>
      </c>
    </row>
    <row r="7" spans="1:22">
      <c r="D7" t="s">
        <v>192</v>
      </c>
      <c r="E7">
        <v>-1.4478949000000001</v>
      </c>
      <c r="F7">
        <v>2.9316269999999998E-2</v>
      </c>
      <c r="G7">
        <v>9.8780480000000004E-2</v>
      </c>
      <c r="H7">
        <v>-0.15720020000000001</v>
      </c>
      <c r="V7" t="s">
        <v>172</v>
      </c>
    </row>
    <row r="8" spans="1:22">
      <c r="D8" t="s">
        <v>192</v>
      </c>
      <c r="E8">
        <v>-1.4478949000000001</v>
      </c>
      <c r="F8">
        <v>9.8780480000000004E-2</v>
      </c>
      <c r="G8" s="1">
        <v>9.9999999999999997E+98</v>
      </c>
      <c r="H8">
        <v>-0.49452239999999997</v>
      </c>
      <c r="V8" t="s">
        <v>173</v>
      </c>
    </row>
    <row r="9" spans="1:22">
      <c r="D9" t="s">
        <v>192</v>
      </c>
      <c r="E9">
        <v>-1.4478949000000001</v>
      </c>
      <c r="F9" t="s">
        <v>9</v>
      </c>
      <c r="G9" t="s">
        <v>9</v>
      </c>
      <c r="H9">
        <v>0</v>
      </c>
    </row>
    <row r="10" spans="1:22">
      <c r="D10" t="s">
        <v>194</v>
      </c>
      <c r="E10">
        <v>-0.85262079999999996</v>
      </c>
      <c r="F10" s="1">
        <v>-9.9999999999999997E+98</v>
      </c>
      <c r="G10">
        <v>0.2</v>
      </c>
      <c r="H10">
        <v>0.94607410000000003</v>
      </c>
    </row>
    <row r="11" spans="1:22">
      <c r="D11" t="s">
        <v>194</v>
      </c>
      <c r="E11">
        <v>-0.85262079999999996</v>
      </c>
      <c r="F11">
        <v>0.2</v>
      </c>
      <c r="G11">
        <v>0.5</v>
      </c>
      <c r="H11">
        <v>0.62178949999999999</v>
      </c>
    </row>
    <row r="12" spans="1:22">
      <c r="D12" t="s">
        <v>194</v>
      </c>
      <c r="E12">
        <v>-0.85262079999999996</v>
      </c>
      <c r="F12">
        <v>0.5</v>
      </c>
      <c r="G12">
        <v>5</v>
      </c>
      <c r="H12">
        <v>0.45180710000000002</v>
      </c>
    </row>
    <row r="13" spans="1:22">
      <c r="D13" t="s">
        <v>194</v>
      </c>
      <c r="E13">
        <v>-0.85262079999999996</v>
      </c>
      <c r="F13">
        <v>5</v>
      </c>
      <c r="G13" s="1">
        <v>9.9999999999999997E+98</v>
      </c>
      <c r="H13">
        <v>-0.295128</v>
      </c>
    </row>
    <row r="14" spans="1:22">
      <c r="D14" t="s">
        <v>194</v>
      </c>
      <c r="E14">
        <v>-0.85262079999999996</v>
      </c>
      <c r="F14" t="s">
        <v>9</v>
      </c>
      <c r="G14" t="s">
        <v>9</v>
      </c>
      <c r="H14">
        <v>0</v>
      </c>
    </row>
    <row r="15" spans="1:22">
      <c r="D15" t="s">
        <v>171</v>
      </c>
      <c r="E15">
        <v>-1.138042</v>
      </c>
      <c r="F15" s="1">
        <v>-9.9999999999999997E+98</v>
      </c>
      <c r="G15">
        <v>2</v>
      </c>
      <c r="H15">
        <v>8.8164300000000001E-2</v>
      </c>
    </row>
    <row r="16" spans="1:22">
      <c r="D16" t="s">
        <v>171</v>
      </c>
      <c r="E16">
        <v>-1.138042</v>
      </c>
      <c r="F16">
        <v>2</v>
      </c>
      <c r="G16">
        <v>2</v>
      </c>
      <c r="H16">
        <v>-0.48622359999999998</v>
      </c>
    </row>
    <row r="17" spans="4:8">
      <c r="D17" t="s">
        <v>171</v>
      </c>
      <c r="E17">
        <v>-1.138042</v>
      </c>
      <c r="F17">
        <v>2</v>
      </c>
      <c r="G17" s="1">
        <v>9.9999999999999997E+98</v>
      </c>
      <c r="H17">
        <v>-0.48622359999999998</v>
      </c>
    </row>
    <row r="18" spans="4:8">
      <c r="D18" t="s">
        <v>171</v>
      </c>
      <c r="E18">
        <v>-1.138042</v>
      </c>
      <c r="F18" t="s">
        <v>9</v>
      </c>
      <c r="G18" t="s">
        <v>9</v>
      </c>
      <c r="H18">
        <v>0</v>
      </c>
    </row>
    <row r="19" spans="4:8">
      <c r="D19" t="s">
        <v>172</v>
      </c>
      <c r="E19">
        <v>-0.96279959999999998</v>
      </c>
      <c r="F19" s="1">
        <v>-9.9999999999999997E+98</v>
      </c>
      <c r="G19">
        <v>7.9156580000000004E-2</v>
      </c>
      <c r="H19">
        <v>1.064964</v>
      </c>
    </row>
    <row r="20" spans="4:8">
      <c r="D20" t="s">
        <v>172</v>
      </c>
      <c r="E20">
        <v>-0.96279959999999998</v>
      </c>
      <c r="F20">
        <v>7.9156580000000004E-2</v>
      </c>
      <c r="G20">
        <v>0.78055558000000003</v>
      </c>
      <c r="H20">
        <v>0.12931300000000001</v>
      </c>
    </row>
    <row r="21" spans="4:8">
      <c r="D21" t="s">
        <v>172</v>
      </c>
      <c r="E21">
        <v>-0.96279959999999998</v>
      </c>
      <c r="F21">
        <v>0.78055558000000003</v>
      </c>
      <c r="G21" s="1">
        <v>9.9999999999999997E+98</v>
      </c>
      <c r="H21">
        <v>-0.13832829999999999</v>
      </c>
    </row>
    <row r="22" spans="4:8">
      <c r="D22" t="s">
        <v>172</v>
      </c>
      <c r="E22">
        <v>-0.96279959999999998</v>
      </c>
      <c r="F22" t="s">
        <v>9</v>
      </c>
      <c r="G22" t="s">
        <v>9</v>
      </c>
      <c r="H22">
        <v>0</v>
      </c>
    </row>
    <row r="23" spans="4:8">
      <c r="D23" t="s">
        <v>173</v>
      </c>
      <c r="E23">
        <v>-0.42681530000000001</v>
      </c>
      <c r="F23" s="1">
        <v>-9.9999999999999997E+98</v>
      </c>
      <c r="G23" s="1">
        <v>1E-10</v>
      </c>
      <c r="H23">
        <v>-0.29184929999999998</v>
      </c>
    </row>
    <row r="24" spans="4:8">
      <c r="D24" t="s">
        <v>173</v>
      </c>
      <c r="E24">
        <v>-0.42681530000000001</v>
      </c>
      <c r="F24" s="1">
        <v>1E-10</v>
      </c>
      <c r="G24">
        <v>1.01</v>
      </c>
      <c r="H24">
        <v>5.8909400000000001E-2</v>
      </c>
    </row>
    <row r="25" spans="4:8">
      <c r="D25" t="s">
        <v>173</v>
      </c>
      <c r="E25">
        <v>-0.42681530000000001</v>
      </c>
      <c r="F25">
        <v>1.01</v>
      </c>
      <c r="G25" s="1">
        <v>9.9999999999999997E+98</v>
      </c>
      <c r="H25">
        <v>0.2244582</v>
      </c>
    </row>
    <row r="26" spans="4:8">
      <c r="D26" t="s">
        <v>173</v>
      </c>
      <c r="E26">
        <v>-0.42681530000000001</v>
      </c>
      <c r="F26" t="s">
        <v>9</v>
      </c>
      <c r="G26" t="s">
        <v>9</v>
      </c>
      <c r="H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550E-0157-4440-9D8F-25B4905FD8A3}">
  <dimension ref="A1:AA39"/>
  <sheetViews>
    <sheetView topLeftCell="D1" workbookViewId="0">
      <selection activeCell="D5" sqref="D5"/>
    </sheetView>
  </sheetViews>
  <sheetFormatPr defaultRowHeight="13.5"/>
  <cols>
    <col min="1" max="1" width="12.25" bestFit="1" customWidth="1"/>
    <col min="2" max="2" width="17.0625" bestFit="1" customWidth="1"/>
    <col min="3" max="3" width="12.5" bestFit="1" customWidth="1"/>
    <col min="4" max="4" width="28.8125" bestFit="1" customWidth="1"/>
    <col min="5" max="5" width="34.125" bestFit="1" customWidth="1"/>
    <col min="6" max="6" width="17.3125" bestFit="1" customWidth="1"/>
    <col min="7" max="7" width="16.9375" bestFit="1" customWidth="1"/>
    <col min="8" max="8" width="7.3125" bestFit="1" customWidth="1"/>
    <col min="9" max="9" width="22.125" bestFit="1" customWidth="1"/>
    <col min="10" max="10" width="10.8125" bestFit="1" customWidth="1"/>
    <col min="11" max="11" width="10.125" bestFit="1" customWidth="1"/>
    <col min="12" max="12" width="6.5625" bestFit="1" customWidth="1"/>
    <col min="13" max="13" width="8.375" bestFit="1" customWidth="1"/>
    <col min="14" max="14" width="10.375" bestFit="1" customWidth="1"/>
    <col min="15" max="15" width="13.75" bestFit="1" customWidth="1"/>
    <col min="16" max="16" width="19.5" bestFit="1" customWidth="1"/>
    <col min="17" max="17" width="24.9375" bestFit="1" customWidth="1"/>
    <col min="18" max="18" width="24.625" bestFit="1" customWidth="1"/>
    <col min="19" max="19" width="12.5" bestFit="1" customWidth="1"/>
  </cols>
  <sheetData>
    <row r="1" spans="1:27" ht="13.9">
      <c r="A1" s="2" t="s">
        <v>59</v>
      </c>
      <c r="B1" s="2" t="s">
        <v>60</v>
      </c>
      <c r="C1" s="2" t="s">
        <v>61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7">
      <c r="D2" t="s">
        <v>75</v>
      </c>
      <c r="E2">
        <v>-0.78913999999999995</v>
      </c>
      <c r="F2" s="1">
        <v>-9.9999999999999997E+98</v>
      </c>
      <c r="G2">
        <v>0.5</v>
      </c>
      <c r="H2">
        <v>-0.78358320000000004</v>
      </c>
      <c r="I2">
        <v>2.1892233750000001</v>
      </c>
      <c r="J2">
        <v>0</v>
      </c>
      <c r="K2" t="s">
        <v>51</v>
      </c>
      <c r="L2" t="s">
        <v>52</v>
      </c>
      <c r="M2" t="s">
        <v>53</v>
      </c>
      <c r="N2" t="s">
        <v>54</v>
      </c>
      <c r="O2" s="4">
        <v>0.02</v>
      </c>
      <c r="V2" t="s">
        <v>75</v>
      </c>
      <c r="Z2" t="s">
        <v>42</v>
      </c>
      <c r="AA2">
        <v>-2.4238</v>
      </c>
    </row>
    <row r="3" spans="1:27">
      <c r="D3" t="s">
        <v>75</v>
      </c>
      <c r="E3">
        <v>-0.78913999999999995</v>
      </c>
      <c r="F3">
        <v>0.5</v>
      </c>
      <c r="G3">
        <v>1</v>
      </c>
      <c r="H3">
        <v>-0.37844870000000003</v>
      </c>
      <c r="I3">
        <v>2.1892233750000001</v>
      </c>
      <c r="J3">
        <v>0</v>
      </c>
      <c r="V3" t="s">
        <v>79</v>
      </c>
      <c r="Z3" t="s">
        <v>43</v>
      </c>
      <c r="AA3">
        <v>0.13097</v>
      </c>
    </row>
    <row r="4" spans="1:27">
      <c r="D4" t="s">
        <v>76</v>
      </c>
      <c r="E4">
        <v>-0.78913999999999995</v>
      </c>
      <c r="F4">
        <v>1</v>
      </c>
      <c r="G4">
        <v>6</v>
      </c>
      <c r="H4">
        <v>0.14421149999999999</v>
      </c>
      <c r="I4">
        <v>2.1892233750000001</v>
      </c>
      <c r="J4">
        <v>0</v>
      </c>
      <c r="V4" t="s">
        <v>82</v>
      </c>
      <c r="Z4" t="s">
        <v>44</v>
      </c>
      <c r="AA4">
        <v>-2.2928999999999999</v>
      </c>
    </row>
    <row r="5" spans="1:27">
      <c r="D5" t="s">
        <v>77</v>
      </c>
      <c r="E5">
        <v>-0.78913999999999995</v>
      </c>
      <c r="F5">
        <v>6</v>
      </c>
      <c r="G5" s="1">
        <v>9.9999999999999997E+98</v>
      </c>
      <c r="H5">
        <v>0.17708740000000001</v>
      </c>
      <c r="I5">
        <v>2.1892233750000001</v>
      </c>
      <c r="J5">
        <v>1</v>
      </c>
      <c r="V5" t="s">
        <v>193</v>
      </c>
      <c r="Z5" t="s">
        <v>45</v>
      </c>
    </row>
    <row r="6" spans="1:27">
      <c r="D6" t="s">
        <v>78</v>
      </c>
      <c r="E6">
        <v>-0.78913999999999995</v>
      </c>
      <c r="F6" t="s">
        <v>9</v>
      </c>
      <c r="G6" t="s">
        <v>9</v>
      </c>
      <c r="H6">
        <v>0</v>
      </c>
      <c r="I6">
        <v>2.1892233750000001</v>
      </c>
      <c r="J6">
        <v>0</v>
      </c>
      <c r="V6" t="s">
        <v>190</v>
      </c>
      <c r="Z6" t="s">
        <v>19</v>
      </c>
    </row>
    <row r="7" spans="1:27">
      <c r="D7" t="s">
        <v>79</v>
      </c>
      <c r="E7">
        <v>-0.493728</v>
      </c>
      <c r="F7" s="1">
        <v>-9.9999999999999997E+98</v>
      </c>
      <c r="G7">
        <v>1</v>
      </c>
      <c r="H7">
        <v>-0.69430170000000002</v>
      </c>
      <c r="I7">
        <v>2.2867830420000002</v>
      </c>
      <c r="J7">
        <v>0</v>
      </c>
      <c r="V7" t="s">
        <v>87</v>
      </c>
    </row>
    <row r="8" spans="1:27">
      <c r="D8" t="s">
        <v>80</v>
      </c>
      <c r="E8">
        <v>-0.493728</v>
      </c>
      <c r="F8">
        <v>1</v>
      </c>
      <c r="G8">
        <v>1.58</v>
      </c>
      <c r="H8">
        <v>-0.60389470000000001</v>
      </c>
      <c r="I8">
        <v>2.2867830420000002</v>
      </c>
      <c r="J8">
        <v>1</v>
      </c>
      <c r="V8" t="s">
        <v>88</v>
      </c>
    </row>
    <row r="9" spans="1:27">
      <c r="D9" t="s">
        <v>79</v>
      </c>
      <c r="E9">
        <v>-0.493728</v>
      </c>
      <c r="F9">
        <v>1.58</v>
      </c>
      <c r="G9">
        <v>2</v>
      </c>
      <c r="H9">
        <v>0.1143584</v>
      </c>
      <c r="I9">
        <v>2.2867830420000002</v>
      </c>
      <c r="J9">
        <v>0</v>
      </c>
    </row>
    <row r="10" spans="1:27">
      <c r="D10" t="s">
        <v>81</v>
      </c>
      <c r="E10">
        <v>-0.493728</v>
      </c>
      <c r="F10">
        <v>2</v>
      </c>
      <c r="G10" s="1">
        <v>9.9999999999999997E+98</v>
      </c>
      <c r="H10">
        <v>0.154223</v>
      </c>
      <c r="I10">
        <v>2.2867830420000002</v>
      </c>
      <c r="J10">
        <v>0</v>
      </c>
    </row>
    <row r="11" spans="1:27">
      <c r="D11" t="s">
        <v>79</v>
      </c>
      <c r="E11">
        <v>-0.493728</v>
      </c>
      <c r="F11" t="s">
        <v>9</v>
      </c>
      <c r="G11" t="s">
        <v>9</v>
      </c>
      <c r="H11">
        <v>0</v>
      </c>
      <c r="I11">
        <v>2.2867830420000002</v>
      </c>
      <c r="J11">
        <v>0</v>
      </c>
    </row>
    <row r="12" spans="1:27">
      <c r="D12" t="s">
        <v>82</v>
      </c>
      <c r="E12">
        <v>-0.50865700000000003</v>
      </c>
      <c r="F12" s="1">
        <v>-9.9999999999999997E+98</v>
      </c>
      <c r="G12">
        <v>1.07501E-2</v>
      </c>
      <c r="H12">
        <v>-0.4702712</v>
      </c>
      <c r="I12">
        <v>2.5398101899999999</v>
      </c>
      <c r="J12">
        <v>0</v>
      </c>
    </row>
    <row r="13" spans="1:27">
      <c r="D13" t="s">
        <v>83</v>
      </c>
      <c r="E13">
        <v>-0.50865700000000003</v>
      </c>
      <c r="F13">
        <v>1.0749999999999999E-2</v>
      </c>
      <c r="G13">
        <v>2.3015633000000002</v>
      </c>
      <c r="H13">
        <v>-0.14179149999999999</v>
      </c>
      <c r="I13">
        <v>2.5398101899999999</v>
      </c>
      <c r="J13">
        <v>1</v>
      </c>
    </row>
    <row r="14" spans="1:27">
      <c r="D14" t="s">
        <v>82</v>
      </c>
      <c r="E14">
        <v>-0.50865700000000003</v>
      </c>
      <c r="F14">
        <v>2.3015629999999998</v>
      </c>
      <c r="G14">
        <v>4.6007468999999999</v>
      </c>
      <c r="H14">
        <v>-0.1174432</v>
      </c>
      <c r="I14">
        <v>2.5398101899999999</v>
      </c>
      <c r="J14">
        <v>0</v>
      </c>
    </row>
    <row r="15" spans="1:27">
      <c r="D15" t="s">
        <v>82</v>
      </c>
      <c r="E15">
        <v>-0.50865700000000003</v>
      </c>
      <c r="F15">
        <v>4.6007470000000001</v>
      </c>
      <c r="G15">
        <v>9.7796482999999998</v>
      </c>
      <c r="H15">
        <v>-8.9240600000000003E-2</v>
      </c>
      <c r="I15">
        <v>2.5398101899999999</v>
      </c>
      <c r="J15">
        <v>0</v>
      </c>
    </row>
    <row r="16" spans="1:27">
      <c r="D16" t="s">
        <v>84</v>
      </c>
      <c r="E16">
        <v>-0.50865700000000003</v>
      </c>
      <c r="F16">
        <v>9.7796479999999999</v>
      </c>
      <c r="G16">
        <v>18.174802</v>
      </c>
      <c r="H16">
        <v>0.24219170000000001</v>
      </c>
      <c r="I16">
        <v>2.5398101899999999</v>
      </c>
      <c r="J16">
        <v>0</v>
      </c>
    </row>
    <row r="17" spans="4:10">
      <c r="D17" t="s">
        <v>84</v>
      </c>
      <c r="E17">
        <v>-0.50865700000000003</v>
      </c>
      <c r="F17">
        <v>18.174800000000001</v>
      </c>
      <c r="G17" s="1">
        <v>9.9999999999999997E+98</v>
      </c>
      <c r="H17">
        <v>0.87346349999999995</v>
      </c>
      <c r="I17">
        <v>2.5398101899999999</v>
      </c>
      <c r="J17">
        <v>0</v>
      </c>
    </row>
    <row r="18" spans="4:10">
      <c r="D18" t="s">
        <v>84</v>
      </c>
      <c r="E18">
        <v>-0.50865700000000003</v>
      </c>
      <c r="F18" t="s">
        <v>9</v>
      </c>
      <c r="G18" t="s">
        <v>9</v>
      </c>
      <c r="H18">
        <v>0</v>
      </c>
      <c r="I18">
        <v>2.5398101899999999</v>
      </c>
      <c r="J18">
        <v>0</v>
      </c>
    </row>
    <row r="19" spans="4:10">
      <c r="D19" t="s">
        <v>193</v>
      </c>
      <c r="E19">
        <v>-0.69804600000000006</v>
      </c>
      <c r="F19" s="1">
        <v>-9.9999999999999997E+98</v>
      </c>
      <c r="G19">
        <v>0.25</v>
      </c>
      <c r="H19">
        <v>0.38795570000000001</v>
      </c>
      <c r="I19">
        <v>0.87904891100000004</v>
      </c>
      <c r="J19">
        <v>0</v>
      </c>
    </row>
    <row r="20" spans="4:10">
      <c r="D20" t="s">
        <v>193</v>
      </c>
      <c r="E20">
        <v>-0.69804600000000006</v>
      </c>
      <c r="F20">
        <v>0.25</v>
      </c>
      <c r="G20">
        <v>0.5</v>
      </c>
      <c r="H20">
        <v>0.30394860000000001</v>
      </c>
      <c r="I20">
        <v>0.87904891100000004</v>
      </c>
      <c r="J20">
        <v>0</v>
      </c>
    </row>
    <row r="21" spans="4:10">
      <c r="D21" t="s">
        <v>193</v>
      </c>
      <c r="E21">
        <v>-0.69804500000000003</v>
      </c>
      <c r="F21">
        <v>0.5</v>
      </c>
      <c r="G21">
        <v>1</v>
      </c>
      <c r="H21">
        <v>-7.7095700000000003E-2</v>
      </c>
      <c r="I21">
        <v>0.87904891100000004</v>
      </c>
      <c r="J21">
        <v>1</v>
      </c>
    </row>
    <row r="22" spans="4:10">
      <c r="D22" t="s">
        <v>193</v>
      </c>
      <c r="E22">
        <v>-0.69804600000000006</v>
      </c>
      <c r="F22">
        <v>1</v>
      </c>
      <c r="G22" s="1">
        <v>9.9999999999999997E+98</v>
      </c>
      <c r="H22">
        <v>-0.63671149999999999</v>
      </c>
      <c r="I22">
        <v>0.87904891100000004</v>
      </c>
      <c r="J22">
        <v>0</v>
      </c>
    </row>
    <row r="23" spans="4:10">
      <c r="D23" t="s">
        <v>193</v>
      </c>
      <c r="E23">
        <v>-0.69804500000000003</v>
      </c>
      <c r="F23" t="s">
        <v>9</v>
      </c>
      <c r="G23" t="s">
        <v>9</v>
      </c>
      <c r="H23">
        <v>0</v>
      </c>
      <c r="I23">
        <v>0.87904891100000004</v>
      </c>
      <c r="J23">
        <v>0</v>
      </c>
    </row>
    <row r="24" spans="4:10">
      <c r="D24" t="s">
        <v>190</v>
      </c>
      <c r="E24">
        <v>-0.64227500000000004</v>
      </c>
      <c r="F24" s="1">
        <v>-9.9999999999999997E+98</v>
      </c>
      <c r="G24">
        <v>0.2</v>
      </c>
      <c r="H24">
        <v>0.89724250000000005</v>
      </c>
      <c r="I24">
        <v>1.2632526669999999</v>
      </c>
      <c r="J24">
        <v>1</v>
      </c>
    </row>
    <row r="25" spans="4:10">
      <c r="D25" t="s">
        <v>190</v>
      </c>
      <c r="E25">
        <v>-0.64227500000000004</v>
      </c>
      <c r="F25">
        <v>0.2</v>
      </c>
      <c r="G25">
        <v>0.6</v>
      </c>
      <c r="H25">
        <v>-0.19993730000000001</v>
      </c>
      <c r="I25">
        <v>1.2632526669999999</v>
      </c>
      <c r="J25">
        <v>0</v>
      </c>
    </row>
    <row r="26" spans="4:10">
      <c r="D26" t="s">
        <v>190</v>
      </c>
      <c r="E26">
        <v>-0.64227500000000004</v>
      </c>
      <c r="F26">
        <v>0.6</v>
      </c>
      <c r="G26">
        <v>2.5</v>
      </c>
      <c r="H26">
        <v>7.4214600000000006E-2</v>
      </c>
      <c r="I26">
        <v>1.2632526669999999</v>
      </c>
      <c r="J26">
        <v>0</v>
      </c>
    </row>
    <row r="27" spans="4:10">
      <c r="D27" t="s">
        <v>190</v>
      </c>
      <c r="E27">
        <v>-0.64227500000000004</v>
      </c>
      <c r="F27">
        <v>2.5</v>
      </c>
      <c r="G27" s="1">
        <v>9.9999999999999997E+98</v>
      </c>
      <c r="H27">
        <v>0.46023140000000001</v>
      </c>
      <c r="I27">
        <v>1.2632526669999999</v>
      </c>
      <c r="J27">
        <v>0</v>
      </c>
    </row>
    <row r="28" spans="4:10">
      <c r="D28" t="s">
        <v>190</v>
      </c>
      <c r="E28">
        <v>-0.64227500000000004</v>
      </c>
      <c r="F28" t="s">
        <v>9</v>
      </c>
      <c r="G28" t="s">
        <v>9</v>
      </c>
      <c r="H28">
        <v>0</v>
      </c>
      <c r="I28">
        <v>1.2632526669999999</v>
      </c>
      <c r="J28">
        <v>0</v>
      </c>
    </row>
    <row r="29" spans="4:10">
      <c r="D29" t="s">
        <v>87</v>
      </c>
      <c r="E29">
        <v>-0.420713</v>
      </c>
      <c r="F29" s="1">
        <v>-9.9999999999999997E+98</v>
      </c>
      <c r="G29">
        <v>0.02</v>
      </c>
      <c r="H29">
        <v>-0.31992720000000002</v>
      </c>
      <c r="I29">
        <v>8.5284249999999992E-3</v>
      </c>
    </row>
    <row r="30" spans="4:10">
      <c r="D30" t="s">
        <v>87</v>
      </c>
      <c r="E30">
        <v>-0.420713</v>
      </c>
      <c r="F30">
        <v>0.02</v>
      </c>
      <c r="G30">
        <v>0.1</v>
      </c>
      <c r="H30">
        <v>0.21932360000000001</v>
      </c>
      <c r="I30">
        <v>8.5284249999999992E-3</v>
      </c>
    </row>
    <row r="31" spans="4:10">
      <c r="D31" t="s">
        <v>87</v>
      </c>
      <c r="E31">
        <v>-0.420713</v>
      </c>
      <c r="F31">
        <v>0.1</v>
      </c>
      <c r="G31">
        <v>0.2</v>
      </c>
      <c r="H31">
        <v>0.2966799</v>
      </c>
      <c r="I31">
        <v>8.5284249999999992E-3</v>
      </c>
    </row>
    <row r="32" spans="4:10">
      <c r="D32" t="s">
        <v>87</v>
      </c>
      <c r="E32">
        <v>-0.420713</v>
      </c>
      <c r="F32">
        <v>0.2</v>
      </c>
      <c r="G32" s="1">
        <v>9.9999999999999997E+98</v>
      </c>
      <c r="H32">
        <v>0.43556309999999998</v>
      </c>
      <c r="I32">
        <v>8.5284249999999992E-3</v>
      </c>
    </row>
    <row r="33" spans="4:9">
      <c r="D33" t="s">
        <v>87</v>
      </c>
      <c r="E33">
        <v>-0.42071799999999998</v>
      </c>
      <c r="F33" t="s">
        <v>9</v>
      </c>
      <c r="G33" t="s">
        <v>9</v>
      </c>
      <c r="H33">
        <v>0</v>
      </c>
      <c r="I33">
        <v>8.5284249999999992E-3</v>
      </c>
    </row>
    <row r="34" spans="4:9">
      <c r="D34" t="s">
        <v>88</v>
      </c>
      <c r="E34">
        <v>-0.47305700000000001</v>
      </c>
      <c r="F34" s="1">
        <v>-9.9999999999999997E+98</v>
      </c>
      <c r="G34">
        <v>15</v>
      </c>
      <c r="H34">
        <v>0.6696358</v>
      </c>
      <c r="I34">
        <v>147.80033900000001</v>
      </c>
    </row>
    <row r="35" spans="4:9">
      <c r="D35" t="s">
        <v>88</v>
      </c>
      <c r="E35">
        <v>-0.47305700000000001</v>
      </c>
      <c r="F35">
        <v>15</v>
      </c>
      <c r="G35">
        <v>30</v>
      </c>
      <c r="H35">
        <v>0.34244839999999999</v>
      </c>
      <c r="I35">
        <v>147.80033900000001</v>
      </c>
    </row>
    <row r="36" spans="4:9">
      <c r="D36" t="s">
        <v>88</v>
      </c>
      <c r="E36">
        <v>-0.47305700000000001</v>
      </c>
      <c r="F36">
        <v>30</v>
      </c>
      <c r="G36">
        <v>90</v>
      </c>
      <c r="H36">
        <v>0.20690990000000001</v>
      </c>
      <c r="I36">
        <v>147.80033900000001</v>
      </c>
    </row>
    <row r="37" spans="4:9">
      <c r="D37" t="s">
        <v>88</v>
      </c>
      <c r="E37">
        <v>-0.47305700000000001</v>
      </c>
      <c r="F37">
        <v>90</v>
      </c>
      <c r="G37">
        <v>150</v>
      </c>
      <c r="H37">
        <v>-0.19226090000000001</v>
      </c>
      <c r="I37">
        <v>147.80033900000001</v>
      </c>
    </row>
    <row r="38" spans="4:9">
      <c r="D38" t="s">
        <v>88</v>
      </c>
      <c r="E38">
        <v>-0.47305700000000001</v>
      </c>
      <c r="F38">
        <v>150</v>
      </c>
      <c r="G38" s="1">
        <v>9.9999999999999997E+98</v>
      </c>
      <c r="H38">
        <v>0.59999100000000005</v>
      </c>
      <c r="I38">
        <v>147.80033900000001</v>
      </c>
    </row>
    <row r="39" spans="4:9">
      <c r="D39" t="s">
        <v>88</v>
      </c>
      <c r="E39">
        <v>-0.47305700000000001</v>
      </c>
      <c r="F39" t="s">
        <v>9</v>
      </c>
      <c r="G39" t="s">
        <v>9</v>
      </c>
      <c r="H39">
        <v>0</v>
      </c>
      <c r="I39">
        <v>147.80033900000001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83A2-33FB-47AC-8B38-0C36505E2079}">
  <dimension ref="A1:AA33"/>
  <sheetViews>
    <sheetView topLeftCell="B1" workbookViewId="0">
      <selection activeCell="I3" sqref="I3"/>
    </sheetView>
  </sheetViews>
  <sheetFormatPr defaultRowHeight="13.5"/>
  <cols>
    <col min="1" max="1" width="12.25" bestFit="1" customWidth="1"/>
    <col min="2" max="2" width="17.0625" bestFit="1" customWidth="1"/>
    <col min="3" max="3" width="12.5" bestFit="1" customWidth="1"/>
    <col min="4" max="4" width="28.8125" bestFit="1" customWidth="1"/>
    <col min="5" max="5" width="34.125" bestFit="1" customWidth="1"/>
    <col min="6" max="6" width="17.3125" bestFit="1" customWidth="1"/>
    <col min="7" max="7" width="16.9375" bestFit="1" customWidth="1"/>
    <col min="8" max="8" width="10.3125" bestFit="1" customWidth="1"/>
    <col min="9" max="9" width="22.125" bestFit="1" customWidth="1"/>
    <col min="10" max="10" width="10.8125" bestFit="1" customWidth="1"/>
    <col min="11" max="11" width="10.125" bestFit="1" customWidth="1"/>
    <col min="12" max="12" width="6.5625" bestFit="1" customWidth="1"/>
    <col min="13" max="13" width="8.375" bestFit="1" customWidth="1"/>
    <col min="14" max="14" width="10.375" bestFit="1" customWidth="1"/>
    <col min="15" max="15" width="13.75" bestFit="1" customWidth="1"/>
    <col min="16" max="16" width="19.5" bestFit="1" customWidth="1"/>
    <col min="17" max="17" width="24.9375" bestFit="1" customWidth="1"/>
    <col min="18" max="18" width="24.625" bestFit="1" customWidth="1"/>
    <col min="19" max="19" width="12.5" bestFit="1" customWidth="1"/>
  </cols>
  <sheetData>
    <row r="1" spans="1:27" ht="13.9">
      <c r="A1" s="2" t="s">
        <v>59</v>
      </c>
      <c r="B1" s="2" t="s">
        <v>60</v>
      </c>
      <c r="C1" s="2" t="s">
        <v>61</v>
      </c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7">
      <c r="D2" t="s">
        <v>176</v>
      </c>
      <c r="E2">
        <v>-1.8889165000000001</v>
      </c>
      <c r="F2" s="1">
        <v>-9.9999999999999997E+98</v>
      </c>
      <c r="G2">
        <v>2.5</v>
      </c>
      <c r="H2">
        <v>0.13178190000000001</v>
      </c>
      <c r="I2">
        <v>0</v>
      </c>
      <c r="O2" s="4"/>
      <c r="Z2" t="s">
        <v>42</v>
      </c>
      <c r="AA2">
        <v>-2.3207482000000001</v>
      </c>
    </row>
    <row r="3" spans="1:27">
      <c r="B3" t="s">
        <v>176</v>
      </c>
      <c r="D3" t="s">
        <v>176</v>
      </c>
      <c r="E3">
        <v>-1.8889165000000001</v>
      </c>
      <c r="F3">
        <v>2.5</v>
      </c>
      <c r="G3" s="1">
        <v>9.9999999999999997E+98</v>
      </c>
      <c r="H3">
        <v>0.17113349999999999</v>
      </c>
      <c r="I3">
        <v>0</v>
      </c>
      <c r="Z3" t="s">
        <v>43</v>
      </c>
      <c r="AA3">
        <v>0.26801079999999999</v>
      </c>
    </row>
    <row r="4" spans="1:27">
      <c r="B4" t="s">
        <v>92</v>
      </c>
      <c r="D4" t="s">
        <v>176</v>
      </c>
      <c r="E4">
        <v>-1.8889165000000001</v>
      </c>
      <c r="F4" t="s">
        <v>9</v>
      </c>
      <c r="G4" s="1" t="s">
        <v>9</v>
      </c>
      <c r="H4">
        <v>0</v>
      </c>
      <c r="I4">
        <v>0</v>
      </c>
      <c r="Z4" t="s">
        <v>44</v>
      </c>
      <c r="AA4">
        <v>-2.0627377999999998</v>
      </c>
    </row>
    <row r="5" spans="1:27">
      <c r="B5" t="s">
        <v>89</v>
      </c>
      <c r="D5" t="s">
        <v>92</v>
      </c>
      <c r="E5">
        <v>-0.74738170000000004</v>
      </c>
      <c r="F5" s="1">
        <v>-9.9999999999999997E+98</v>
      </c>
      <c r="G5">
        <v>24</v>
      </c>
      <c r="H5">
        <v>-0.54199620000000004</v>
      </c>
      <c r="I5">
        <v>102.44444444</v>
      </c>
      <c r="Z5" t="s">
        <v>45</v>
      </c>
    </row>
    <row r="6" spans="1:27">
      <c r="B6" t="s">
        <v>90</v>
      </c>
      <c r="D6" t="s">
        <v>92</v>
      </c>
      <c r="E6">
        <v>-0.74738170000000004</v>
      </c>
      <c r="F6">
        <v>24</v>
      </c>
      <c r="G6">
        <v>92.09</v>
      </c>
      <c r="H6">
        <v>-5.7704000000000002E-3</v>
      </c>
      <c r="I6">
        <v>102.44444444</v>
      </c>
      <c r="Z6" t="s">
        <v>19</v>
      </c>
    </row>
    <row r="7" spans="1:27">
      <c r="B7" t="s">
        <v>91</v>
      </c>
      <c r="D7" t="s">
        <v>92</v>
      </c>
      <c r="E7">
        <v>0.74738170000000004</v>
      </c>
      <c r="F7">
        <v>92.09</v>
      </c>
      <c r="G7">
        <v>100</v>
      </c>
      <c r="H7">
        <v>5.8284299999999997E-2</v>
      </c>
      <c r="I7">
        <v>102.44444444</v>
      </c>
    </row>
    <row r="8" spans="1:27">
      <c r="B8" t="s">
        <v>93</v>
      </c>
      <c r="D8" t="s">
        <v>92</v>
      </c>
      <c r="E8">
        <v>-0.74738170000000004</v>
      </c>
      <c r="F8">
        <v>100</v>
      </c>
      <c r="G8">
        <v>140</v>
      </c>
      <c r="H8">
        <v>0.1225913</v>
      </c>
      <c r="I8">
        <v>102.44444444</v>
      </c>
    </row>
    <row r="9" spans="1:27">
      <c r="B9" t="s">
        <v>94</v>
      </c>
      <c r="D9" t="s">
        <v>92</v>
      </c>
      <c r="E9">
        <v>-0.74738170000000004</v>
      </c>
      <c r="F9">
        <v>140</v>
      </c>
      <c r="G9" s="1">
        <v>9.9999999999999997E+98</v>
      </c>
      <c r="H9">
        <v>0.87144909999999998</v>
      </c>
      <c r="I9">
        <v>102.44444444</v>
      </c>
    </row>
    <row r="10" spans="1:27">
      <c r="D10" t="s">
        <v>92</v>
      </c>
      <c r="E10">
        <v>0.74738170000000004</v>
      </c>
      <c r="F10" t="s">
        <v>9</v>
      </c>
      <c r="G10" t="s">
        <v>9</v>
      </c>
      <c r="H10">
        <v>0</v>
      </c>
      <c r="I10">
        <v>0</v>
      </c>
    </row>
    <row r="11" spans="1:27">
      <c r="D11" t="s">
        <v>89</v>
      </c>
      <c r="E11">
        <v>-1.0442629000000001</v>
      </c>
      <c r="F11" s="1">
        <v>-9.9999999999999997E+98</v>
      </c>
      <c r="G11">
        <v>1</v>
      </c>
      <c r="H11">
        <v>0.53297490000000003</v>
      </c>
      <c r="I11">
        <v>0</v>
      </c>
    </row>
    <row r="12" spans="1:27">
      <c r="D12" t="s">
        <v>89</v>
      </c>
      <c r="E12">
        <v>-1.0442629000000001</v>
      </c>
      <c r="F12">
        <v>1</v>
      </c>
      <c r="G12">
        <v>7</v>
      </c>
      <c r="H12">
        <v>-8.6027199999999998E-2</v>
      </c>
      <c r="I12">
        <v>0</v>
      </c>
    </row>
    <row r="13" spans="1:27">
      <c r="D13" t="s">
        <v>89</v>
      </c>
      <c r="E13">
        <v>-1.0442629000000001</v>
      </c>
      <c r="F13">
        <v>7</v>
      </c>
      <c r="G13" s="1">
        <v>9.9999999999999997E+98</v>
      </c>
      <c r="H13">
        <v>-0.10069889999999999</v>
      </c>
      <c r="I13">
        <v>0</v>
      </c>
    </row>
    <row r="14" spans="1:27">
      <c r="D14" t="s">
        <v>89</v>
      </c>
      <c r="E14">
        <v>1.0442629000000001</v>
      </c>
      <c r="F14" t="s">
        <v>9</v>
      </c>
      <c r="G14" s="1" t="s">
        <v>9</v>
      </c>
      <c r="H14">
        <v>0</v>
      </c>
      <c r="I14">
        <v>0</v>
      </c>
    </row>
    <row r="15" spans="1:27">
      <c r="D15" t="s">
        <v>90</v>
      </c>
      <c r="E15">
        <v>-0.52256009999999997</v>
      </c>
      <c r="F15" s="1">
        <v>0</v>
      </c>
      <c r="G15" s="1">
        <v>9.9999999999999995E-7</v>
      </c>
      <c r="H15">
        <v>-0.15484249999999999</v>
      </c>
      <c r="I15" t="s">
        <v>9</v>
      </c>
    </row>
    <row r="16" spans="1:27">
      <c r="D16" t="s">
        <v>90</v>
      </c>
      <c r="E16">
        <v>-0.52256009999999997</v>
      </c>
      <c r="F16" s="1">
        <v>9.9999999999999995E-7</v>
      </c>
      <c r="G16">
        <v>4</v>
      </c>
      <c r="H16">
        <v>-0.1123985</v>
      </c>
      <c r="I16" t="s">
        <v>9</v>
      </c>
    </row>
    <row r="17" spans="4:9">
      <c r="D17" t="s">
        <v>90</v>
      </c>
      <c r="E17">
        <v>-0.52256009999999997</v>
      </c>
      <c r="F17" s="5">
        <v>4</v>
      </c>
      <c r="G17">
        <v>18</v>
      </c>
      <c r="H17">
        <v>-9.2647000000000007E-3</v>
      </c>
      <c r="I17" t="s">
        <v>9</v>
      </c>
    </row>
    <row r="18" spans="4:9">
      <c r="D18" t="s">
        <v>90</v>
      </c>
      <c r="E18">
        <v>-0.52256009999999997</v>
      </c>
      <c r="F18">
        <v>18</v>
      </c>
      <c r="G18" s="1">
        <v>9.9999999999999997E+98</v>
      </c>
      <c r="H18">
        <v>0.25012770000000001</v>
      </c>
      <c r="I18" t="s">
        <v>9</v>
      </c>
    </row>
    <row r="19" spans="4:9">
      <c r="D19" t="s">
        <v>90</v>
      </c>
      <c r="E19">
        <v>-0.52256009999999997</v>
      </c>
      <c r="F19" s="1" t="s">
        <v>9</v>
      </c>
      <c r="G19" t="s">
        <v>9</v>
      </c>
      <c r="H19">
        <v>0</v>
      </c>
      <c r="I19" t="s">
        <v>9</v>
      </c>
    </row>
    <row r="20" spans="4:9">
      <c r="D20" t="s">
        <v>91</v>
      </c>
      <c r="E20">
        <v>-1.0556772999999999</v>
      </c>
      <c r="F20" s="1">
        <v>0</v>
      </c>
      <c r="G20" s="1">
        <v>9.9999999999999995E-7</v>
      </c>
      <c r="H20">
        <v>0.25145279999999998</v>
      </c>
      <c r="I20">
        <v>0.94946900199999995</v>
      </c>
    </row>
    <row r="21" spans="4:9">
      <c r="D21" t="s">
        <v>91</v>
      </c>
      <c r="E21">
        <v>1.0556772999999999</v>
      </c>
      <c r="F21" s="1">
        <v>9.9999999999999995E-7</v>
      </c>
      <c r="G21">
        <v>1</v>
      </c>
      <c r="H21">
        <v>0.10419399999999999</v>
      </c>
      <c r="I21">
        <v>0.94946900199999995</v>
      </c>
    </row>
    <row r="22" spans="4:9">
      <c r="D22" t="s">
        <v>91</v>
      </c>
      <c r="E22">
        <v>-1.0556772999999999</v>
      </c>
      <c r="F22" s="1">
        <v>1</v>
      </c>
      <c r="G22" s="1">
        <v>9.9999999999999997E+98</v>
      </c>
      <c r="H22">
        <v>-0.14242189999999999</v>
      </c>
      <c r="I22">
        <v>0.94946900199999995</v>
      </c>
    </row>
    <row r="23" spans="4:9">
      <c r="D23" t="s">
        <v>91</v>
      </c>
      <c r="E23">
        <v>-1.0556772999999999</v>
      </c>
      <c r="F23" t="s">
        <v>9</v>
      </c>
      <c r="G23" t="s">
        <v>9</v>
      </c>
      <c r="H23">
        <v>0</v>
      </c>
      <c r="I23">
        <v>0.94946900199999995</v>
      </c>
    </row>
    <row r="24" spans="4:9">
      <c r="D24" t="s">
        <v>93</v>
      </c>
      <c r="E24">
        <v>-1.0029961000000001</v>
      </c>
      <c r="F24" s="1">
        <v>-9.9999999999999997E+98</v>
      </c>
      <c r="G24">
        <v>-2.0000000000000001E-4</v>
      </c>
      <c r="H24">
        <v>0.52780839999999996</v>
      </c>
      <c r="I24">
        <v>0</v>
      </c>
    </row>
    <row r="25" spans="4:9">
      <c r="D25" t="s">
        <v>93</v>
      </c>
      <c r="E25">
        <v>-1.0029961000000001</v>
      </c>
      <c r="F25">
        <v>-2.0000000000000001E-4</v>
      </c>
      <c r="G25">
        <v>0.7773137</v>
      </c>
      <c r="H25">
        <v>9.1777000000000004E-3</v>
      </c>
      <c r="I25">
        <v>0</v>
      </c>
    </row>
    <row r="26" spans="4:9">
      <c r="D26" t="s">
        <v>93</v>
      </c>
      <c r="E26">
        <v>-1.0029961000000001</v>
      </c>
      <c r="F26" s="6">
        <v>0.77731399999999995</v>
      </c>
      <c r="G26">
        <v>2.458469</v>
      </c>
      <c r="H26">
        <v>3.0978999999999998E-3</v>
      </c>
      <c r="I26">
        <v>0</v>
      </c>
    </row>
    <row r="27" spans="4:9">
      <c r="D27" t="s">
        <v>93</v>
      </c>
      <c r="E27">
        <v>-1.0029961000000001</v>
      </c>
      <c r="F27">
        <v>2.458469</v>
      </c>
      <c r="G27" s="1">
        <v>9.9999999999999997E+98</v>
      </c>
      <c r="H27">
        <v>-0.63486290000000001</v>
      </c>
      <c r="I27">
        <v>0</v>
      </c>
    </row>
    <row r="28" spans="4:9">
      <c r="D28" t="s">
        <v>93</v>
      </c>
      <c r="E28">
        <v>-1.0029961000000001</v>
      </c>
      <c r="F28" t="s">
        <v>9</v>
      </c>
      <c r="G28" t="s">
        <v>9</v>
      </c>
      <c r="H28">
        <v>0</v>
      </c>
      <c r="I28">
        <v>0</v>
      </c>
    </row>
    <row r="29" spans="4:9">
      <c r="D29" t="s">
        <v>94</v>
      </c>
      <c r="E29">
        <v>-1.0054407000000001</v>
      </c>
      <c r="F29" s="1">
        <v>-9.9999999999999997E+98</v>
      </c>
      <c r="G29">
        <v>0.15954499999999999</v>
      </c>
      <c r="H29">
        <v>-0.2295469</v>
      </c>
      <c r="I29">
        <v>1</v>
      </c>
    </row>
    <row r="30" spans="4:9">
      <c r="D30" t="s">
        <v>94</v>
      </c>
      <c r="E30">
        <v>-1.0054407000000001</v>
      </c>
      <c r="F30">
        <v>0.15954499999999999</v>
      </c>
      <c r="G30">
        <v>0.70710799999999996</v>
      </c>
      <c r="H30">
        <v>-4.2240800000000002E-2</v>
      </c>
      <c r="I30">
        <v>1</v>
      </c>
    </row>
    <row r="31" spans="4:9">
      <c r="D31" t="s">
        <v>94</v>
      </c>
      <c r="E31">
        <v>-1.0054407000000001</v>
      </c>
      <c r="F31">
        <v>0.70710799999999996</v>
      </c>
      <c r="G31">
        <v>0.764706</v>
      </c>
      <c r="H31">
        <v>0.2692737</v>
      </c>
      <c r="I31">
        <v>1</v>
      </c>
    </row>
    <row r="32" spans="4:9">
      <c r="D32" t="s">
        <v>94</v>
      </c>
      <c r="E32">
        <v>-1.0054407000000001</v>
      </c>
      <c r="F32">
        <v>0.764706</v>
      </c>
      <c r="G32" s="1">
        <v>9.9999999999999997E+98</v>
      </c>
      <c r="H32">
        <v>0.35609770000000002</v>
      </c>
      <c r="I32">
        <v>1</v>
      </c>
    </row>
    <row r="33" spans="4:9">
      <c r="D33" t="s">
        <v>94</v>
      </c>
      <c r="E33">
        <v>-1.0054407000000001</v>
      </c>
      <c r="F33" t="s">
        <v>9</v>
      </c>
      <c r="G33" t="s">
        <v>9</v>
      </c>
      <c r="H33">
        <v>0</v>
      </c>
      <c r="I33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5A2A-1FB8-4E95-86AA-7EE77D60669F}">
  <dimension ref="A1:CR3"/>
  <sheetViews>
    <sheetView workbookViewId="0">
      <selection activeCell="K2" sqref="K2"/>
    </sheetView>
  </sheetViews>
  <sheetFormatPr defaultRowHeight="13.5"/>
  <sheetData>
    <row r="1" spans="1:96" ht="13.9">
      <c r="I1" s="11" t="s">
        <v>168</v>
      </c>
      <c r="J1" s="11"/>
      <c r="K1" s="11"/>
      <c r="L1" s="11"/>
      <c r="M1" s="11"/>
      <c r="N1" s="11"/>
      <c r="O1" s="11"/>
      <c r="P1" s="11"/>
      <c r="Q1" s="12" t="s">
        <v>169</v>
      </c>
      <c r="R1" s="12"/>
      <c r="S1" s="12"/>
      <c r="T1" s="12"/>
      <c r="U1" s="12"/>
      <c r="V1" s="12"/>
      <c r="W1" s="12"/>
      <c r="X1" s="13" t="s">
        <v>21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2" t="s">
        <v>174</v>
      </c>
      <c r="AJ1" s="12"/>
      <c r="AK1" s="12"/>
      <c r="AL1" s="12"/>
      <c r="AM1" s="12"/>
      <c r="AN1" s="12"/>
      <c r="AO1" s="12"/>
      <c r="AP1" s="11" t="s">
        <v>20</v>
      </c>
      <c r="AQ1" s="11"/>
      <c r="AR1" s="11"/>
      <c r="AS1" s="11"/>
      <c r="AT1" s="11"/>
      <c r="AU1" s="12" t="s">
        <v>177</v>
      </c>
      <c r="AV1" s="12"/>
      <c r="AW1" s="12"/>
      <c r="AX1" s="12"/>
      <c r="AY1" s="12"/>
      <c r="AZ1" s="12"/>
      <c r="BA1" s="12"/>
      <c r="BB1" s="12"/>
      <c r="BC1" s="12"/>
      <c r="BD1" s="12"/>
      <c r="BE1" s="11" t="s">
        <v>181</v>
      </c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4" t="s">
        <v>182</v>
      </c>
      <c r="CD1" s="14"/>
      <c r="CE1" s="14"/>
      <c r="CF1" s="14"/>
      <c r="CG1" s="14"/>
      <c r="CH1" s="14"/>
      <c r="CI1" s="11" t="s">
        <v>183</v>
      </c>
      <c r="CJ1" s="11"/>
      <c r="CK1" s="11"/>
      <c r="CL1" s="11"/>
      <c r="CM1" s="15" t="s">
        <v>184</v>
      </c>
      <c r="CN1" s="15"/>
      <c r="CO1" s="15"/>
      <c r="CP1" s="15"/>
      <c r="CQ1" s="15"/>
      <c r="CR1" s="15"/>
    </row>
    <row r="2" spans="1:96">
      <c r="A2" t="s">
        <v>154</v>
      </c>
      <c r="B2" t="s">
        <v>156</v>
      </c>
      <c r="C2" t="s">
        <v>157</v>
      </c>
      <c r="D2" t="s">
        <v>158</v>
      </c>
      <c r="E2" t="s">
        <v>159</v>
      </c>
      <c r="F2" t="s">
        <v>161</v>
      </c>
      <c r="G2" t="s">
        <v>163</v>
      </c>
      <c r="H2" t="s">
        <v>165</v>
      </c>
      <c r="I2" t="s">
        <v>166</v>
      </c>
      <c r="J2" t="s">
        <v>185</v>
      </c>
      <c r="K2" t="s">
        <v>167</v>
      </c>
      <c r="L2" t="s">
        <v>95</v>
      </c>
      <c r="M2" t="s">
        <v>96</v>
      </c>
      <c r="N2" t="s">
        <v>99</v>
      </c>
      <c r="O2" t="s">
        <v>100</v>
      </c>
      <c r="P2" t="s">
        <v>101</v>
      </c>
      <c r="Q2" t="s">
        <v>105</v>
      </c>
      <c r="R2" t="s">
        <v>104</v>
      </c>
      <c r="S2" t="s">
        <v>103</v>
      </c>
      <c r="T2" t="s">
        <v>106</v>
      </c>
      <c r="U2" t="s">
        <v>107</v>
      </c>
      <c r="V2" t="s">
        <v>108</v>
      </c>
      <c r="W2" t="s">
        <v>109</v>
      </c>
      <c r="X2" t="s">
        <v>189</v>
      </c>
      <c r="Y2" t="s">
        <v>186</v>
      </c>
      <c r="Z2" t="s">
        <v>187</v>
      </c>
      <c r="AA2" t="s">
        <v>188</v>
      </c>
      <c r="AB2" t="s">
        <v>75</v>
      </c>
      <c r="AC2" t="s">
        <v>79</v>
      </c>
      <c r="AD2" t="s">
        <v>82</v>
      </c>
      <c r="AE2" t="s">
        <v>193</v>
      </c>
      <c r="AF2" t="s">
        <v>190</v>
      </c>
      <c r="AG2" t="s">
        <v>87</v>
      </c>
      <c r="AH2" t="s">
        <v>88</v>
      </c>
      <c r="AI2" t="s">
        <v>191</v>
      </c>
      <c r="AJ2" t="s">
        <v>170</v>
      </c>
      <c r="AK2" t="s">
        <v>192</v>
      </c>
      <c r="AL2" t="s">
        <v>194</v>
      </c>
      <c r="AM2" t="s">
        <v>171</v>
      </c>
      <c r="AN2" t="s">
        <v>172</v>
      </c>
      <c r="AO2" t="s">
        <v>173</v>
      </c>
      <c r="AP2" t="s">
        <v>36</v>
      </c>
      <c r="AQ2" t="s">
        <v>37</v>
      </c>
      <c r="AR2" t="s">
        <v>38</v>
      </c>
      <c r="AS2" t="s">
        <v>175</v>
      </c>
      <c r="AT2" t="s">
        <v>39</v>
      </c>
      <c r="AU2" t="s">
        <v>195</v>
      </c>
      <c r="AV2" t="s">
        <v>196</v>
      </c>
      <c r="AW2" t="s">
        <v>197</v>
      </c>
      <c r="AX2" t="s">
        <v>176</v>
      </c>
      <c r="AY2" t="s">
        <v>92</v>
      </c>
      <c r="AZ2" t="s">
        <v>89</v>
      </c>
      <c r="BA2" t="s">
        <v>90</v>
      </c>
      <c r="BB2" t="s">
        <v>91</v>
      </c>
      <c r="BC2" t="s">
        <v>93</v>
      </c>
      <c r="BD2" t="s">
        <v>94</v>
      </c>
      <c r="BE2" t="s">
        <v>111</v>
      </c>
      <c r="BF2" t="s">
        <v>112</v>
      </c>
      <c r="BG2" t="s">
        <v>113</v>
      </c>
      <c r="BH2" t="s">
        <v>114</v>
      </c>
      <c r="BI2" t="s">
        <v>117</v>
      </c>
      <c r="BJ2" t="s">
        <v>116</v>
      </c>
      <c r="BK2" t="s">
        <v>118</v>
      </c>
      <c r="BL2" t="s">
        <v>178</v>
      </c>
      <c r="BM2" t="s">
        <v>179</v>
      </c>
      <c r="BN2" t="s">
        <v>127</v>
      </c>
      <c r="BO2" t="s">
        <v>180</v>
      </c>
      <c r="BP2" t="s">
        <v>129</v>
      </c>
      <c r="BQ2" t="s">
        <v>130</v>
      </c>
      <c r="BR2" t="s">
        <v>131</v>
      </c>
      <c r="BS2" t="s">
        <v>132</v>
      </c>
      <c r="BT2" t="s">
        <v>133</v>
      </c>
      <c r="BU2" t="s">
        <v>122</v>
      </c>
      <c r="BV2" t="s">
        <v>123</v>
      </c>
      <c r="BW2" t="s">
        <v>124</v>
      </c>
      <c r="BX2" t="s">
        <v>134</v>
      </c>
      <c r="BY2" t="s">
        <v>125</v>
      </c>
      <c r="BZ2" t="s">
        <v>126</v>
      </c>
      <c r="CA2" t="s">
        <v>135</v>
      </c>
      <c r="CB2" t="s">
        <v>136</v>
      </c>
      <c r="CC2" t="s">
        <v>137</v>
      </c>
      <c r="CD2" t="s">
        <v>138</v>
      </c>
      <c r="CE2" t="s">
        <v>139</v>
      </c>
      <c r="CF2" t="s">
        <v>140</v>
      </c>
      <c r="CG2" t="s">
        <v>141</v>
      </c>
      <c r="CH2" t="s">
        <v>142</v>
      </c>
      <c r="CI2" t="s">
        <v>143</v>
      </c>
      <c r="CJ2" t="s">
        <v>144</v>
      </c>
      <c r="CK2" t="s">
        <v>145</v>
      </c>
      <c r="CL2" t="s">
        <v>146</v>
      </c>
      <c r="CM2" t="s">
        <v>147</v>
      </c>
      <c r="CN2" t="s">
        <v>148</v>
      </c>
      <c r="CO2" t="s">
        <v>149</v>
      </c>
      <c r="CP2" t="s">
        <v>150</v>
      </c>
      <c r="CQ2" t="s">
        <v>151</v>
      </c>
      <c r="CR2" t="s">
        <v>152</v>
      </c>
    </row>
    <row r="3" spans="1:96">
      <c r="A3" t="s">
        <v>155</v>
      </c>
      <c r="B3" s="10">
        <v>44819</v>
      </c>
      <c r="C3">
        <v>72.097700000000003</v>
      </c>
      <c r="D3" t="s">
        <v>160</v>
      </c>
      <c r="E3" t="s">
        <v>160</v>
      </c>
      <c r="F3" t="s">
        <v>162</v>
      </c>
      <c r="G3" t="s">
        <v>164</v>
      </c>
      <c r="H3">
        <v>0</v>
      </c>
      <c r="I3">
        <v>1</v>
      </c>
      <c r="J3">
        <v>30</v>
      </c>
      <c r="K3">
        <v>60</v>
      </c>
      <c r="L3">
        <v>0.288002651</v>
      </c>
      <c r="M3">
        <v>1</v>
      </c>
      <c r="N3">
        <v>6</v>
      </c>
      <c r="O3">
        <v>175.33333329999999</v>
      </c>
      <c r="P3">
        <v>1</v>
      </c>
      <c r="Q3">
        <v>8.3099999999999993E-2</v>
      </c>
      <c r="R3">
        <v>0.7036</v>
      </c>
      <c r="S3">
        <v>0</v>
      </c>
      <c r="T3">
        <v>7.0000000000000007E-2</v>
      </c>
      <c r="U3">
        <v>-2.0000000000000001E-4</v>
      </c>
      <c r="V3">
        <v>3</v>
      </c>
      <c r="W3">
        <v>1.17</v>
      </c>
      <c r="X3">
        <v>1</v>
      </c>
      <c r="Y3">
        <v>123</v>
      </c>
      <c r="Z3">
        <v>0</v>
      </c>
      <c r="AA3">
        <v>0</v>
      </c>
      <c r="AB3">
        <v>2.1892233750000001</v>
      </c>
      <c r="AC3">
        <v>2.2867830420000002</v>
      </c>
      <c r="AD3">
        <v>2.5398101899999999</v>
      </c>
      <c r="AF3">
        <v>1.2632526669999999</v>
      </c>
      <c r="AG3">
        <v>8.5284249999999992E-3</v>
      </c>
      <c r="AH3">
        <v>147.80033900000001</v>
      </c>
      <c r="AI3">
        <v>1</v>
      </c>
      <c r="AJ3">
        <v>-0.2</v>
      </c>
      <c r="AK3">
        <v>7.6923073999999994E-2</v>
      </c>
      <c r="AL3">
        <v>39.506657730000001</v>
      </c>
      <c r="AM3">
        <v>1</v>
      </c>
      <c r="AN3">
        <v>1.0370370369999999</v>
      </c>
      <c r="AO3">
        <v>7.8349213700000003E-2</v>
      </c>
      <c r="AP3">
        <v>0.35347086900000002</v>
      </c>
      <c r="AQ3" t="s">
        <v>24</v>
      </c>
      <c r="AR3" t="s">
        <v>25</v>
      </c>
      <c r="AS3" t="s">
        <v>18</v>
      </c>
      <c r="AT3">
        <v>0</v>
      </c>
      <c r="AU3">
        <v>1</v>
      </c>
      <c r="AV3">
        <v>0</v>
      </c>
      <c r="AW3">
        <v>30</v>
      </c>
      <c r="AX3">
        <v>0</v>
      </c>
      <c r="AY3">
        <v>102.44444439999999</v>
      </c>
      <c r="AZ3">
        <v>0</v>
      </c>
      <c r="BA3" t="s">
        <v>9</v>
      </c>
      <c r="BB3">
        <v>0.94946900199999995</v>
      </c>
      <c r="BC3">
        <v>0</v>
      </c>
      <c r="BD3">
        <v>1</v>
      </c>
      <c r="BE3">
        <v>1</v>
      </c>
      <c r="BF3">
        <v>1</v>
      </c>
      <c r="BG3">
        <v>4</v>
      </c>
      <c r="BH3">
        <v>1</v>
      </c>
      <c r="BI3">
        <v>3</v>
      </c>
      <c r="BJ3">
        <v>4</v>
      </c>
      <c r="BK3">
        <v>6</v>
      </c>
      <c r="BL3">
        <v>1</v>
      </c>
      <c r="BM3">
        <v>1</v>
      </c>
      <c r="BN3">
        <v>1</v>
      </c>
      <c r="BO3">
        <v>1</v>
      </c>
      <c r="BP3">
        <v>2</v>
      </c>
      <c r="BQ3">
        <v>1</v>
      </c>
      <c r="BR3">
        <v>1</v>
      </c>
      <c r="BS3">
        <v>2</v>
      </c>
      <c r="BT3">
        <v>1</v>
      </c>
      <c r="BU3">
        <v>1</v>
      </c>
      <c r="BV3">
        <v>1</v>
      </c>
      <c r="BW3">
        <v>3</v>
      </c>
      <c r="BX3">
        <v>1</v>
      </c>
      <c r="BY3">
        <v>2</v>
      </c>
      <c r="BZ3">
        <v>5</v>
      </c>
      <c r="CA3">
        <v>3</v>
      </c>
      <c r="CB3">
        <v>2</v>
      </c>
      <c r="CC3">
        <v>1</v>
      </c>
      <c r="CD3">
        <v>3</v>
      </c>
      <c r="CE3">
        <v>3</v>
      </c>
      <c r="CF3">
        <v>1</v>
      </c>
      <c r="CG3">
        <v>6</v>
      </c>
      <c r="CH3">
        <v>1</v>
      </c>
    </row>
  </sheetData>
  <mergeCells count="10">
    <mergeCell ref="AP1:AT1"/>
    <mergeCell ref="AU1:BD1"/>
    <mergeCell ref="BE1:CB1"/>
    <mergeCell ref="CC1:CH1"/>
    <mergeCell ref="CI1:CL1"/>
    <mergeCell ref="CM1:CR1"/>
    <mergeCell ref="I1:P1"/>
    <mergeCell ref="Q1:W1"/>
    <mergeCell ref="X1:AH1"/>
    <mergeCell ref="AI1:AO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4317-E284-40DE-9687-81F6C0FE06E0}">
  <dimension ref="A1:AA32"/>
  <sheetViews>
    <sheetView tabSelected="1" topLeftCell="B1" workbookViewId="0">
      <selection activeCell="I2" sqref="I2"/>
    </sheetView>
  </sheetViews>
  <sheetFormatPr defaultRowHeight="13.5"/>
  <cols>
    <col min="1" max="1" width="12.25" bestFit="1" customWidth="1"/>
    <col min="2" max="2" width="17.0625" bestFit="1" customWidth="1"/>
    <col min="3" max="3" width="12.5" bestFit="1" customWidth="1"/>
    <col min="4" max="4" width="28.8125" bestFit="1" customWidth="1"/>
    <col min="5" max="5" width="34.125" bestFit="1" customWidth="1"/>
    <col min="6" max="6" width="17.3125" bestFit="1" customWidth="1"/>
    <col min="7" max="7" width="16.9375" bestFit="1" customWidth="1"/>
    <col min="8" max="8" width="10.3125" bestFit="1" customWidth="1"/>
    <col min="9" max="9" width="22.125" bestFit="1" customWidth="1"/>
    <col min="10" max="10" width="10.8125" bestFit="1" customWidth="1"/>
    <col min="11" max="11" width="10.125" bestFit="1" customWidth="1"/>
    <col min="12" max="12" width="6.5625" bestFit="1" customWidth="1"/>
    <col min="13" max="13" width="8.375" bestFit="1" customWidth="1"/>
    <col min="14" max="14" width="10.375" bestFit="1" customWidth="1"/>
    <col min="15" max="15" width="13.75" bestFit="1" customWidth="1"/>
    <col min="16" max="16" width="19.5" bestFit="1" customWidth="1"/>
    <col min="17" max="17" width="24.9375" bestFit="1" customWidth="1"/>
    <col min="18" max="18" width="24.625" bestFit="1" customWidth="1"/>
    <col min="19" max="19" width="12.5" bestFit="1" customWidth="1"/>
  </cols>
  <sheetData>
    <row r="1" spans="1:27" ht="13.9">
      <c r="A1" s="2" t="s">
        <v>59</v>
      </c>
      <c r="B1" s="2" t="s">
        <v>60</v>
      </c>
      <c r="C1" s="2" t="s">
        <v>61</v>
      </c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7">
      <c r="D2" t="s">
        <v>95</v>
      </c>
      <c r="E2">
        <v>-1.0469705</v>
      </c>
      <c r="F2" s="1">
        <v>-9.9999999999999997E+98</v>
      </c>
      <c r="G2">
        <v>0.25</v>
      </c>
      <c r="H2" s="8">
        <v>1.1775686000000001</v>
      </c>
      <c r="I2">
        <f>IFERROR(VALUE(INDEX('Input Flat file'!$1:$1048576,MATCH('Input Flat file'!A3,'Input Flat file'!$A:$A,0),MATCH('Bureau Commercial'!D2,'Input Flat file'!2:2,0))),"NA")</f>
        <v>0.288002651</v>
      </c>
      <c r="O2" s="4"/>
      <c r="V2" t="s">
        <v>95</v>
      </c>
      <c r="Z2" t="s">
        <v>42</v>
      </c>
      <c r="AA2">
        <v>-2.3207482000000001</v>
      </c>
    </row>
    <row r="3" spans="1:27">
      <c r="D3" t="s">
        <v>95</v>
      </c>
      <c r="E3">
        <v>-1.0469705</v>
      </c>
      <c r="F3">
        <v>0.25</v>
      </c>
      <c r="G3" s="1">
        <v>0.75</v>
      </c>
      <c r="H3" s="8">
        <v>0.90807760000000004</v>
      </c>
      <c r="V3" t="s">
        <v>96</v>
      </c>
      <c r="Z3" t="s">
        <v>43</v>
      </c>
      <c r="AA3">
        <v>0.26801079999999999</v>
      </c>
    </row>
    <row r="4" spans="1:27">
      <c r="D4" t="s">
        <v>95</v>
      </c>
      <c r="E4">
        <v>-1.0469705</v>
      </c>
      <c r="F4">
        <v>0.75</v>
      </c>
      <c r="G4">
        <v>1</v>
      </c>
      <c r="H4" s="8">
        <v>0.57744070000000003</v>
      </c>
      <c r="V4" t="s">
        <v>99</v>
      </c>
      <c r="Z4" t="s">
        <v>44</v>
      </c>
      <c r="AA4">
        <v>-2.0627377999999998</v>
      </c>
    </row>
    <row r="5" spans="1:27">
      <c r="D5" t="s">
        <v>95</v>
      </c>
      <c r="E5">
        <v>-1.0469705</v>
      </c>
      <c r="F5" s="1">
        <v>1</v>
      </c>
      <c r="G5" s="1">
        <v>9.9999999999999997E+98</v>
      </c>
      <c r="H5" s="8">
        <v>-0.6684466</v>
      </c>
      <c r="V5" t="s">
        <v>100</v>
      </c>
      <c r="Z5" t="s">
        <v>45</v>
      </c>
    </row>
    <row r="6" spans="1:27">
      <c r="D6" t="s">
        <v>95</v>
      </c>
      <c r="E6">
        <v>-1.0469705</v>
      </c>
      <c r="F6" t="s">
        <v>9</v>
      </c>
      <c r="G6" t="s">
        <v>9</v>
      </c>
      <c r="H6" s="8">
        <v>0</v>
      </c>
      <c r="V6" t="s">
        <v>101</v>
      </c>
      <c r="Z6" t="s">
        <v>19</v>
      </c>
    </row>
    <row r="7" spans="1:27">
      <c r="D7" t="s">
        <v>96</v>
      </c>
      <c r="E7">
        <v>-0.70521590000000001</v>
      </c>
      <c r="F7" s="1">
        <v>-1E-99</v>
      </c>
      <c r="G7">
        <v>0.5</v>
      </c>
      <c r="H7" s="8">
        <v>0.12770819999999999</v>
      </c>
    </row>
    <row r="8" spans="1:27">
      <c r="D8" t="s">
        <v>97</v>
      </c>
      <c r="E8">
        <v>-0.70521590000000001</v>
      </c>
      <c r="F8">
        <v>0.5</v>
      </c>
      <c r="G8">
        <v>2.5</v>
      </c>
      <c r="H8" s="8">
        <v>-0.17766989999999999</v>
      </c>
    </row>
    <row r="9" spans="1:27">
      <c r="D9" t="s">
        <v>96</v>
      </c>
      <c r="E9">
        <v>-0.70521590000000001</v>
      </c>
      <c r="F9">
        <v>2.5</v>
      </c>
      <c r="G9" s="1">
        <v>9.9999999999999997E+98</v>
      </c>
      <c r="H9" s="8">
        <v>-1.0894254999999999</v>
      </c>
    </row>
    <row r="10" spans="1:27">
      <c r="D10" t="s">
        <v>98</v>
      </c>
      <c r="E10">
        <v>-0.70521590000000001</v>
      </c>
      <c r="F10" t="s">
        <v>9</v>
      </c>
      <c r="G10" s="1" t="s">
        <v>9</v>
      </c>
      <c r="H10" s="8">
        <v>0</v>
      </c>
    </row>
    <row r="11" spans="1:27">
      <c r="D11" t="s">
        <v>99</v>
      </c>
      <c r="E11">
        <v>-0.69930270000000005</v>
      </c>
      <c r="F11" s="1">
        <v>-1E-99</v>
      </c>
      <c r="G11" s="1">
        <v>3</v>
      </c>
      <c r="H11" s="8">
        <v>-0.92724850000000003</v>
      </c>
    </row>
    <row r="12" spans="1:27">
      <c r="D12" t="s">
        <v>99</v>
      </c>
      <c r="E12">
        <v>-0.69930270000000005</v>
      </c>
      <c r="F12">
        <v>3</v>
      </c>
      <c r="G12">
        <v>10</v>
      </c>
      <c r="H12" s="8">
        <v>-0.28707899999999997</v>
      </c>
    </row>
    <row r="13" spans="1:27">
      <c r="D13" t="s">
        <v>99</v>
      </c>
      <c r="E13">
        <v>-0.69930270000000005</v>
      </c>
      <c r="F13" s="1">
        <v>10</v>
      </c>
      <c r="G13" s="1" t="s">
        <v>102</v>
      </c>
      <c r="H13" s="8">
        <v>0.58179990000000004</v>
      </c>
    </row>
    <row r="14" spans="1:27">
      <c r="D14" t="s">
        <v>99</v>
      </c>
      <c r="E14">
        <v>-0.69930270000000005</v>
      </c>
      <c r="F14" t="s">
        <v>9</v>
      </c>
      <c r="G14" t="s">
        <v>9</v>
      </c>
      <c r="H14" s="8">
        <v>0</v>
      </c>
    </row>
    <row r="15" spans="1:27">
      <c r="D15" t="s">
        <v>100</v>
      </c>
      <c r="E15">
        <v>-2.2392973999999999</v>
      </c>
      <c r="F15" s="1">
        <v>-1E-99</v>
      </c>
      <c r="G15">
        <v>1</v>
      </c>
      <c r="H15" s="8">
        <v>-0.14201569999999999</v>
      </c>
    </row>
    <row r="16" spans="1:27">
      <c r="D16" t="s">
        <v>100</v>
      </c>
      <c r="E16">
        <v>-2.2392973999999999</v>
      </c>
      <c r="F16" s="1">
        <v>1</v>
      </c>
      <c r="G16" s="1">
        <v>60</v>
      </c>
      <c r="H16" s="8">
        <v>4.6480800000000003E-2</v>
      </c>
    </row>
    <row r="17" spans="4:8">
      <c r="D17" t="s">
        <v>100</v>
      </c>
      <c r="E17">
        <v>-2.2392973999999999</v>
      </c>
      <c r="F17" s="7">
        <v>60</v>
      </c>
      <c r="G17">
        <v>150</v>
      </c>
      <c r="H17" s="8">
        <v>9.0324600000000005E-2</v>
      </c>
    </row>
    <row r="18" spans="4:8">
      <c r="D18" t="s">
        <v>100</v>
      </c>
      <c r="E18">
        <v>-2.2392973999999999</v>
      </c>
      <c r="F18">
        <v>150</v>
      </c>
      <c r="G18" s="1">
        <v>9.9999999999999997E+98</v>
      </c>
      <c r="H18" s="8">
        <v>0.13214300000000001</v>
      </c>
    </row>
    <row r="19" spans="4:8">
      <c r="D19" t="s">
        <v>100</v>
      </c>
      <c r="E19">
        <v>-2.2392973999999999</v>
      </c>
      <c r="F19" t="s">
        <v>9</v>
      </c>
      <c r="G19" t="s">
        <v>9</v>
      </c>
      <c r="H19" s="8">
        <v>0</v>
      </c>
    </row>
    <row r="20" spans="4:8">
      <c r="D20" t="s">
        <v>101</v>
      </c>
      <c r="E20">
        <v>-0.97574479999999997</v>
      </c>
      <c r="F20" s="6">
        <v>0</v>
      </c>
      <c r="G20" s="1">
        <v>0.5</v>
      </c>
      <c r="H20" s="8">
        <v>0.41502339999999999</v>
      </c>
    </row>
    <row r="21" spans="4:8">
      <c r="D21" t="s">
        <v>101</v>
      </c>
      <c r="E21">
        <v>-0.97574479999999997</v>
      </c>
      <c r="F21">
        <v>0.5</v>
      </c>
      <c r="G21">
        <v>1.5</v>
      </c>
      <c r="H21" s="8">
        <v>-4.37677E-2</v>
      </c>
    </row>
    <row r="22" spans="4:8">
      <c r="D22" t="s">
        <v>101</v>
      </c>
      <c r="E22">
        <v>-0.97574479999999997</v>
      </c>
      <c r="F22">
        <v>1.5</v>
      </c>
      <c r="G22">
        <v>2.5</v>
      </c>
      <c r="H22" s="8">
        <v>-0.10859630000000001</v>
      </c>
    </row>
    <row r="23" spans="4:8">
      <c r="D23" t="s">
        <v>101</v>
      </c>
      <c r="E23">
        <v>-0.97574479999999997</v>
      </c>
      <c r="F23" s="1">
        <v>2.5</v>
      </c>
      <c r="G23" s="1">
        <v>9.9999999999999997E+98</v>
      </c>
      <c r="H23" s="8">
        <v>-0.60107270000000002</v>
      </c>
    </row>
    <row r="24" spans="4:8">
      <c r="D24" t="s">
        <v>101</v>
      </c>
      <c r="E24">
        <v>-0.97574479999999997</v>
      </c>
      <c r="F24" s="1" t="s">
        <v>9</v>
      </c>
      <c r="G24" t="s">
        <v>9</v>
      </c>
      <c r="H24" s="8">
        <v>0</v>
      </c>
    </row>
    <row r="32" spans="4:8">
      <c r="G32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5348-3319-456C-9965-B298DF16A35D}">
  <dimension ref="A1:AA31"/>
  <sheetViews>
    <sheetView topLeftCell="H1" workbookViewId="0">
      <selection activeCell="S1" sqref="S1"/>
    </sheetView>
  </sheetViews>
  <sheetFormatPr defaultRowHeight="13.5"/>
  <cols>
    <col min="1" max="1" width="12.25" bestFit="1" customWidth="1"/>
    <col min="2" max="2" width="17.0625" bestFit="1" customWidth="1"/>
    <col min="3" max="3" width="12.5" bestFit="1" customWidth="1"/>
    <col min="4" max="4" width="28.8125" bestFit="1" customWidth="1"/>
    <col min="5" max="5" width="34.125" bestFit="1" customWidth="1"/>
    <col min="6" max="6" width="17.3125" bestFit="1" customWidth="1"/>
    <col min="7" max="7" width="16.9375" bestFit="1" customWidth="1"/>
    <col min="8" max="8" width="10.3125" bestFit="1" customWidth="1"/>
    <col min="9" max="9" width="22.125" bestFit="1" customWidth="1"/>
    <col min="10" max="10" width="10.8125" bestFit="1" customWidth="1"/>
    <col min="11" max="11" width="10.125" bestFit="1" customWidth="1"/>
    <col min="12" max="12" width="6.5625" bestFit="1" customWidth="1"/>
    <col min="13" max="13" width="8.375" bestFit="1" customWidth="1"/>
    <col min="14" max="14" width="10.375" bestFit="1" customWidth="1"/>
    <col min="15" max="15" width="13.75" bestFit="1" customWidth="1"/>
    <col min="16" max="16" width="19.5" bestFit="1" customWidth="1"/>
    <col min="17" max="17" width="24.9375" bestFit="1" customWidth="1"/>
    <col min="18" max="18" width="24.625" bestFit="1" customWidth="1"/>
    <col min="19" max="19" width="12.5" bestFit="1" customWidth="1"/>
  </cols>
  <sheetData>
    <row r="1" spans="1:27" ht="13.9">
      <c r="A1" s="2" t="s">
        <v>59</v>
      </c>
      <c r="B1" s="2" t="s">
        <v>60</v>
      </c>
      <c r="C1" s="2" t="s">
        <v>61</v>
      </c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7">
      <c r="D2" t="s">
        <v>105</v>
      </c>
      <c r="E2">
        <v>0.15</v>
      </c>
      <c r="F2" s="1">
        <v>-9.9999999999999997E+98</v>
      </c>
      <c r="G2" s="1">
        <v>1.5075E-2</v>
      </c>
      <c r="H2" s="8">
        <v>3.6483004999999999E-2</v>
      </c>
      <c r="O2" s="4"/>
      <c r="V2" t="s">
        <v>105</v>
      </c>
      <c r="Z2" t="s">
        <v>42</v>
      </c>
      <c r="AA2">
        <v>-2.3207482000000001</v>
      </c>
    </row>
    <row r="3" spans="1:27">
      <c r="D3" t="s">
        <v>105</v>
      </c>
      <c r="E3">
        <v>0.15</v>
      </c>
      <c r="F3" s="1">
        <v>1.5075E-2</v>
      </c>
      <c r="G3">
        <v>6.9164000000000003E-2</v>
      </c>
      <c r="H3" s="8">
        <v>5.8593918000000002E-2</v>
      </c>
      <c r="V3" t="s">
        <v>104</v>
      </c>
      <c r="Z3" t="s">
        <v>43</v>
      </c>
      <c r="AA3">
        <v>0.26801079999999999</v>
      </c>
    </row>
    <row r="4" spans="1:27">
      <c r="D4" t="s">
        <v>105</v>
      </c>
      <c r="E4">
        <v>0.15</v>
      </c>
      <c r="F4">
        <v>6.9164000000000003E-2</v>
      </c>
      <c r="G4" s="1">
        <v>0.15090100000000001</v>
      </c>
      <c r="H4" s="8">
        <v>7.2597495999999997E-2</v>
      </c>
      <c r="V4" t="s">
        <v>103</v>
      </c>
      <c r="Z4" t="s">
        <v>44</v>
      </c>
      <c r="AA4">
        <v>-2.0627377999999998</v>
      </c>
    </row>
    <row r="5" spans="1:27">
      <c r="D5" t="s">
        <v>105</v>
      </c>
      <c r="E5">
        <v>0.15</v>
      </c>
      <c r="F5" s="1">
        <v>0.15090100000000001</v>
      </c>
      <c r="G5" s="1">
        <v>9.9999999999999997E+98</v>
      </c>
      <c r="H5" s="8">
        <v>9.8393560000000005E-2</v>
      </c>
      <c r="V5" t="s">
        <v>106</v>
      </c>
      <c r="Z5" t="s">
        <v>45</v>
      </c>
    </row>
    <row r="6" spans="1:27">
      <c r="D6" t="s">
        <v>105</v>
      </c>
      <c r="E6">
        <v>0.15</v>
      </c>
      <c r="F6" t="s">
        <v>9</v>
      </c>
      <c r="G6" t="s">
        <v>9</v>
      </c>
      <c r="H6" s="8">
        <v>0</v>
      </c>
      <c r="V6" t="s">
        <v>107</v>
      </c>
      <c r="Z6" t="s">
        <v>19</v>
      </c>
    </row>
    <row r="7" spans="1:27">
      <c r="D7" t="s">
        <v>104</v>
      </c>
      <c r="E7">
        <v>0.15</v>
      </c>
      <c r="F7" s="1">
        <v>-9.9999999999999997E+98</v>
      </c>
      <c r="G7" s="1">
        <v>0.33</v>
      </c>
      <c r="H7" s="8">
        <v>3.8694096999999997E-2</v>
      </c>
      <c r="V7" t="s">
        <v>108</v>
      </c>
    </row>
    <row r="8" spans="1:27">
      <c r="D8" t="s">
        <v>104</v>
      </c>
      <c r="E8">
        <v>0.15</v>
      </c>
      <c r="F8">
        <v>0.33</v>
      </c>
      <c r="G8" s="1">
        <v>0.53</v>
      </c>
      <c r="H8" s="8">
        <v>3.6114489999999999E-2</v>
      </c>
      <c r="V8" t="s">
        <v>109</v>
      </c>
    </row>
    <row r="9" spans="1:27">
      <c r="D9" t="s">
        <v>104</v>
      </c>
      <c r="E9">
        <v>0.15</v>
      </c>
      <c r="F9" s="1">
        <v>0.53</v>
      </c>
      <c r="G9">
        <v>1.75</v>
      </c>
      <c r="H9" s="8">
        <v>3.1323792000000003E-2</v>
      </c>
    </row>
    <row r="10" spans="1:27">
      <c r="D10" t="s">
        <v>104</v>
      </c>
      <c r="E10">
        <v>0.15</v>
      </c>
      <c r="F10">
        <v>1.75</v>
      </c>
      <c r="G10" s="1">
        <v>9.9999999999999997E+98</v>
      </c>
      <c r="H10" s="8">
        <v>7.3703040000000003E-3</v>
      </c>
    </row>
    <row r="11" spans="1:27">
      <c r="D11" t="s">
        <v>104</v>
      </c>
      <c r="E11">
        <v>0.15</v>
      </c>
      <c r="F11" s="1" t="s">
        <v>9</v>
      </c>
      <c r="G11" t="s">
        <v>9</v>
      </c>
      <c r="H11" s="8">
        <v>0</v>
      </c>
    </row>
    <row r="12" spans="1:27">
      <c r="D12" t="s">
        <v>103</v>
      </c>
      <c r="E12">
        <v>0.2</v>
      </c>
      <c r="F12" s="1">
        <v>-9.9999999999999997E+98</v>
      </c>
      <c r="G12">
        <v>0.03</v>
      </c>
      <c r="H12" s="8">
        <v>2.9455278000000001E-2</v>
      </c>
    </row>
    <row r="13" spans="1:27">
      <c r="D13" t="s">
        <v>103</v>
      </c>
      <c r="E13">
        <v>0.2</v>
      </c>
      <c r="F13">
        <v>0.03</v>
      </c>
      <c r="G13" s="1">
        <v>0.1</v>
      </c>
      <c r="H13" s="8">
        <v>3.5513367999999997E-2</v>
      </c>
    </row>
    <row r="14" spans="1:27">
      <c r="D14" t="s">
        <v>103</v>
      </c>
      <c r="E14">
        <v>0.2</v>
      </c>
      <c r="F14" s="6">
        <v>0.1</v>
      </c>
      <c r="G14" s="1">
        <v>9.9999999999999997E+98</v>
      </c>
      <c r="H14" s="8">
        <v>4.7421830999999998E-2</v>
      </c>
    </row>
    <row r="15" spans="1:27">
      <c r="D15" t="s">
        <v>103</v>
      </c>
      <c r="E15">
        <v>0.2</v>
      </c>
      <c r="F15" t="s">
        <v>9</v>
      </c>
      <c r="G15" t="s">
        <v>9</v>
      </c>
      <c r="H15" s="8">
        <v>0</v>
      </c>
    </row>
    <row r="16" spans="1:27">
      <c r="D16" t="s">
        <v>106</v>
      </c>
      <c r="E16">
        <v>0.15</v>
      </c>
      <c r="F16" s="1">
        <v>-9.9999999999999997E+98</v>
      </c>
      <c r="G16" s="1">
        <v>0.25</v>
      </c>
      <c r="H16" s="8">
        <v>3.5306654999999999E-2</v>
      </c>
    </row>
    <row r="17" spans="4:8">
      <c r="D17" t="s">
        <v>106</v>
      </c>
      <c r="E17">
        <v>0.15</v>
      </c>
      <c r="F17">
        <v>0.25</v>
      </c>
      <c r="G17">
        <v>0.5</v>
      </c>
      <c r="H17" s="8">
        <v>1.8540537999999999E-2</v>
      </c>
    </row>
    <row r="18" spans="4:8">
      <c r="D18" t="s">
        <v>106</v>
      </c>
      <c r="E18">
        <v>0.15</v>
      </c>
      <c r="F18">
        <v>0.5</v>
      </c>
      <c r="G18" s="1">
        <v>9.9999999999999997E+98</v>
      </c>
      <c r="H18" s="8">
        <v>7.0449279999999998E-3</v>
      </c>
    </row>
    <row r="19" spans="4:8">
      <c r="D19" t="s">
        <v>106</v>
      </c>
      <c r="E19">
        <v>0.15</v>
      </c>
      <c r="F19" t="s">
        <v>9</v>
      </c>
      <c r="G19" t="s">
        <v>9</v>
      </c>
      <c r="H19" s="8">
        <v>0</v>
      </c>
    </row>
    <row r="20" spans="4:8">
      <c r="D20" t="s">
        <v>107</v>
      </c>
      <c r="E20">
        <v>0.1</v>
      </c>
      <c r="F20" s="1">
        <v>-9.9999999999999997E+98</v>
      </c>
      <c r="G20">
        <v>0.16500000000000001</v>
      </c>
      <c r="H20" s="8">
        <v>4.2831683000000002E-2</v>
      </c>
    </row>
    <row r="21" spans="4:8">
      <c r="D21" t="s">
        <v>107</v>
      </c>
      <c r="E21">
        <v>0.1</v>
      </c>
      <c r="F21">
        <v>0.16500000000000001</v>
      </c>
      <c r="G21" s="1">
        <v>9.9999999999999997E+98</v>
      </c>
      <c r="H21" s="8">
        <v>2.8794409E-2</v>
      </c>
    </row>
    <row r="22" spans="4:8">
      <c r="D22" t="s">
        <v>107</v>
      </c>
      <c r="E22">
        <v>0.1</v>
      </c>
      <c r="F22" t="s">
        <v>9</v>
      </c>
      <c r="G22" s="1" t="s">
        <v>9</v>
      </c>
      <c r="H22" s="8">
        <v>0</v>
      </c>
    </row>
    <row r="23" spans="4:8">
      <c r="D23" t="s">
        <v>108</v>
      </c>
      <c r="E23">
        <v>0.15</v>
      </c>
      <c r="F23" s="1">
        <v>-9.9999999999999997E+98</v>
      </c>
      <c r="G23">
        <v>0</v>
      </c>
      <c r="H23" s="8">
        <v>2.6690425E-2</v>
      </c>
    </row>
    <row r="24" spans="4:8">
      <c r="D24" t="s">
        <v>108</v>
      </c>
      <c r="E24">
        <v>0.15</v>
      </c>
      <c r="F24">
        <v>0</v>
      </c>
      <c r="G24">
        <v>9</v>
      </c>
      <c r="H24" s="8">
        <v>3.0977351E-2</v>
      </c>
    </row>
    <row r="25" spans="4:8">
      <c r="D25" t="s">
        <v>108</v>
      </c>
      <c r="E25">
        <v>0.15</v>
      </c>
      <c r="F25">
        <v>9</v>
      </c>
      <c r="G25">
        <v>20</v>
      </c>
      <c r="H25" s="8">
        <v>3.2967073999999999E-2</v>
      </c>
    </row>
    <row r="26" spans="4:8">
      <c r="D26" t="s">
        <v>108</v>
      </c>
      <c r="E26">
        <v>0.15</v>
      </c>
      <c r="F26">
        <v>20</v>
      </c>
      <c r="G26" s="1">
        <v>9.9999999999999997E+98</v>
      </c>
      <c r="H26" s="8">
        <v>3.8940859000000001E-2</v>
      </c>
    </row>
    <row r="27" spans="4:8">
      <c r="D27" t="s">
        <v>108</v>
      </c>
      <c r="E27">
        <v>0.15</v>
      </c>
      <c r="F27" t="s">
        <v>9</v>
      </c>
      <c r="G27" t="s">
        <v>9</v>
      </c>
      <c r="H27" s="8">
        <v>0</v>
      </c>
    </row>
    <row r="28" spans="4:8">
      <c r="D28" t="s">
        <v>109</v>
      </c>
      <c r="E28">
        <v>0.1</v>
      </c>
      <c r="F28" s="1">
        <v>-9.9999999999999997E+98</v>
      </c>
      <c r="G28">
        <v>0</v>
      </c>
      <c r="H28" s="8">
        <v>3.4555810999999999E-2</v>
      </c>
    </row>
    <row r="29" spans="4:8">
      <c r="D29" t="s">
        <v>109</v>
      </c>
      <c r="E29">
        <v>0.1</v>
      </c>
      <c r="F29">
        <v>0</v>
      </c>
      <c r="G29">
        <v>1.01</v>
      </c>
      <c r="H29" s="8">
        <v>3.2941053999999997E-2</v>
      </c>
    </row>
    <row r="30" spans="4:8">
      <c r="D30" t="s">
        <v>109</v>
      </c>
      <c r="E30">
        <v>0.1</v>
      </c>
      <c r="F30">
        <v>1.01</v>
      </c>
      <c r="G30" s="1">
        <v>9.9999999999999997E+98</v>
      </c>
      <c r="H30">
        <v>2.7773829E-2</v>
      </c>
    </row>
    <row r="31" spans="4:8">
      <c r="D31" t="s">
        <v>109</v>
      </c>
      <c r="E31">
        <v>0.1</v>
      </c>
      <c r="F31" t="s">
        <v>9</v>
      </c>
      <c r="G31" t="s">
        <v>9</v>
      </c>
      <c r="H31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FD56-9898-4172-A17E-1113F318C4E4}">
  <dimension ref="F2:P382"/>
  <sheetViews>
    <sheetView workbookViewId="0"/>
  </sheetViews>
  <sheetFormatPr defaultRowHeight="13.5"/>
  <cols>
    <col min="6" max="6" width="46.125" customWidth="1"/>
    <col min="11" max="11" width="15.375" customWidth="1"/>
    <col min="14" max="14" width="12.625" customWidth="1"/>
  </cols>
  <sheetData>
    <row r="2" spans="6:16">
      <c r="G2" t="s">
        <v>1</v>
      </c>
      <c r="H2" t="s">
        <v>22</v>
      </c>
      <c r="I2" t="s">
        <v>8</v>
      </c>
      <c r="J2" t="s">
        <v>4</v>
      </c>
      <c r="K2" t="s">
        <v>5</v>
      </c>
    </row>
    <row r="3" spans="6:16">
      <c r="F3" t="s">
        <v>75</v>
      </c>
      <c r="G3">
        <v>-0.78913999999999995</v>
      </c>
      <c r="H3" s="1">
        <v>-9.9999999999999997E+98</v>
      </c>
      <c r="I3">
        <v>0.5</v>
      </c>
      <c r="J3">
        <v>-0.78358320000000004</v>
      </c>
      <c r="K3">
        <v>2.1892233750000001</v>
      </c>
    </row>
    <row r="4" spans="6:16">
      <c r="F4" t="s">
        <v>75</v>
      </c>
      <c r="G4">
        <v>-0.78913999999999995</v>
      </c>
      <c r="H4">
        <v>0.5</v>
      </c>
      <c r="I4">
        <v>1</v>
      </c>
      <c r="J4">
        <v>-0.37844870000000003</v>
      </c>
      <c r="K4">
        <v>2.1892233750000001</v>
      </c>
      <c r="P4" t="s">
        <v>1</v>
      </c>
    </row>
    <row r="5" spans="6:16">
      <c r="F5" t="s">
        <v>76</v>
      </c>
      <c r="G5">
        <v>-0.78913999999999995</v>
      </c>
      <c r="H5">
        <v>1</v>
      </c>
      <c r="I5">
        <v>6</v>
      </c>
      <c r="J5">
        <v>0.14421149999999999</v>
      </c>
      <c r="K5">
        <v>2.1892233750000001</v>
      </c>
      <c r="P5">
        <v>-0.78913999999999995</v>
      </c>
    </row>
    <row r="6" spans="6:16">
      <c r="F6" t="s">
        <v>77</v>
      </c>
      <c r="G6">
        <v>-0.78913999999999995</v>
      </c>
      <c r="H6">
        <v>6</v>
      </c>
      <c r="I6" s="1">
        <v>9.9999999999999997E+98</v>
      </c>
      <c r="J6">
        <v>0.17708740000000001</v>
      </c>
      <c r="K6">
        <v>2.1892233750000001</v>
      </c>
      <c r="P6">
        <v>-0.78913999999999995</v>
      </c>
    </row>
    <row r="7" spans="6:16">
      <c r="F7" t="s">
        <v>78</v>
      </c>
      <c r="G7">
        <v>-0.78913999999999995</v>
      </c>
      <c r="H7" t="s">
        <v>9</v>
      </c>
      <c r="I7" t="s">
        <v>9</v>
      </c>
      <c r="J7">
        <v>0</v>
      </c>
      <c r="K7">
        <v>2.1892233750000001</v>
      </c>
      <c r="P7">
        <v>-0.78913999999999995</v>
      </c>
    </row>
    <row r="8" spans="6:16">
      <c r="F8" t="s">
        <v>79</v>
      </c>
      <c r="G8">
        <v>-0.493728</v>
      </c>
      <c r="H8" s="1">
        <v>-9.9999999999999997E+98</v>
      </c>
      <c r="I8">
        <v>1</v>
      </c>
      <c r="J8">
        <v>-0.69430170000000002</v>
      </c>
      <c r="K8">
        <v>2.2867830420000002</v>
      </c>
      <c r="P8">
        <v>-0.78913999999999995</v>
      </c>
    </row>
    <row r="9" spans="6:16">
      <c r="F9" t="s">
        <v>80</v>
      </c>
      <c r="G9">
        <v>-0.493728</v>
      </c>
      <c r="H9">
        <v>1</v>
      </c>
      <c r="I9">
        <v>1.58</v>
      </c>
      <c r="J9">
        <v>-0.60389470000000001</v>
      </c>
      <c r="K9">
        <v>2.2867830420000002</v>
      </c>
      <c r="P9">
        <v>-0.78913999999999995</v>
      </c>
    </row>
    <row r="10" spans="6:16">
      <c r="F10" t="s">
        <v>79</v>
      </c>
      <c r="G10">
        <v>-0.493728</v>
      </c>
      <c r="H10">
        <v>1.58</v>
      </c>
      <c r="I10">
        <v>2</v>
      </c>
      <c r="J10">
        <v>0.1143584</v>
      </c>
      <c r="K10">
        <v>2.2867830420000002</v>
      </c>
      <c r="P10">
        <v>-0.493728</v>
      </c>
    </row>
    <row r="11" spans="6:16">
      <c r="F11" t="s">
        <v>81</v>
      </c>
      <c r="G11">
        <v>-0.493728</v>
      </c>
      <c r="H11">
        <v>2</v>
      </c>
      <c r="I11" s="1">
        <v>9.9999999999999997E+98</v>
      </c>
      <c r="J11">
        <v>0.154223</v>
      </c>
      <c r="K11">
        <v>2.2867830420000002</v>
      </c>
      <c r="P11">
        <v>-0.493728</v>
      </c>
    </row>
    <row r="12" spans="6:16">
      <c r="F12" t="s">
        <v>79</v>
      </c>
      <c r="G12">
        <v>-0.493728</v>
      </c>
      <c r="H12" t="s">
        <v>9</v>
      </c>
      <c r="I12" t="s">
        <v>9</v>
      </c>
      <c r="J12">
        <v>0</v>
      </c>
      <c r="K12">
        <v>2.2867830420000002</v>
      </c>
      <c r="P12">
        <v>-0.493728</v>
      </c>
    </row>
    <row r="13" spans="6:16">
      <c r="F13" t="s">
        <v>82</v>
      </c>
      <c r="G13">
        <v>-0.50865700000000003</v>
      </c>
      <c r="H13" s="1">
        <v>-9.9999999999999997E+98</v>
      </c>
      <c r="I13">
        <v>1.07501E-2</v>
      </c>
      <c r="J13">
        <v>-0.4702712</v>
      </c>
      <c r="K13">
        <v>2.5398101899999999</v>
      </c>
      <c r="P13">
        <v>-0.493728</v>
      </c>
    </row>
    <row r="14" spans="6:16">
      <c r="F14" t="s">
        <v>83</v>
      </c>
      <c r="G14">
        <v>-0.50865700000000003</v>
      </c>
      <c r="H14">
        <v>1.0749999999999999E-2</v>
      </c>
      <c r="I14">
        <v>2.3015633000000002</v>
      </c>
      <c r="J14">
        <v>-0.14179149999999999</v>
      </c>
      <c r="K14">
        <v>2.5398101899999999</v>
      </c>
      <c r="P14">
        <v>-0.493728</v>
      </c>
    </row>
    <row r="15" spans="6:16">
      <c r="F15" t="s">
        <v>82</v>
      </c>
      <c r="G15">
        <v>-0.50865700000000003</v>
      </c>
      <c r="H15">
        <v>2.3015629999999998</v>
      </c>
      <c r="I15">
        <v>4.6007468999999999</v>
      </c>
      <c r="J15">
        <v>-0.1174432</v>
      </c>
      <c r="K15">
        <v>2.5398101899999999</v>
      </c>
      <c r="P15">
        <v>-0.50865700000000003</v>
      </c>
    </row>
    <row r="16" spans="6:16">
      <c r="F16" t="s">
        <v>82</v>
      </c>
      <c r="G16">
        <v>-0.50865700000000003</v>
      </c>
      <c r="H16">
        <v>4.6007470000000001</v>
      </c>
      <c r="I16">
        <v>9.7796482999999998</v>
      </c>
      <c r="J16">
        <v>-8.9240600000000003E-2</v>
      </c>
      <c r="K16">
        <v>2.5398101899999999</v>
      </c>
      <c r="P16">
        <v>-0.50865700000000003</v>
      </c>
    </row>
    <row r="17" spans="6:16">
      <c r="F17" t="s">
        <v>84</v>
      </c>
      <c r="G17">
        <v>-0.50865700000000003</v>
      </c>
      <c r="H17">
        <v>9.7796479999999999</v>
      </c>
      <c r="I17">
        <v>18.174802</v>
      </c>
      <c r="J17">
        <v>0.24219170000000001</v>
      </c>
      <c r="K17">
        <v>2.5398101899999999</v>
      </c>
      <c r="P17">
        <v>-0.50865700000000003</v>
      </c>
    </row>
    <row r="18" spans="6:16">
      <c r="F18" t="s">
        <v>84</v>
      </c>
      <c r="G18">
        <v>-0.50865700000000003</v>
      </c>
      <c r="H18">
        <v>18.174800000000001</v>
      </c>
      <c r="I18" s="1">
        <v>9.9999999999999997E+98</v>
      </c>
      <c r="J18">
        <v>0.87346349999999995</v>
      </c>
      <c r="K18">
        <v>2.5398101899999999</v>
      </c>
      <c r="P18">
        <v>-0.50865700000000003</v>
      </c>
    </row>
    <row r="19" spans="6:16">
      <c r="F19" t="s">
        <v>84</v>
      </c>
      <c r="G19">
        <v>-0.50865700000000003</v>
      </c>
      <c r="H19" t="s">
        <v>9</v>
      </c>
      <c r="I19" t="s">
        <v>9</v>
      </c>
      <c r="J19">
        <v>0</v>
      </c>
      <c r="K19">
        <v>2.5398101899999999</v>
      </c>
      <c r="P19">
        <v>-0.50865700000000003</v>
      </c>
    </row>
    <row r="20" spans="6:16">
      <c r="F20" t="s">
        <v>85</v>
      </c>
      <c r="G20">
        <v>-0.69804600000000006</v>
      </c>
      <c r="H20" s="1">
        <v>-9.9999999999999997E+98</v>
      </c>
      <c r="I20">
        <v>0.25</v>
      </c>
      <c r="J20">
        <v>0.38795570000000001</v>
      </c>
      <c r="K20">
        <v>0.87904891100000004</v>
      </c>
      <c r="P20">
        <v>-0.50865700000000003</v>
      </c>
    </row>
    <row r="21" spans="6:16">
      <c r="F21" t="s">
        <v>85</v>
      </c>
      <c r="G21">
        <v>-0.69804600000000006</v>
      </c>
      <c r="H21">
        <v>0.25</v>
      </c>
      <c r="I21">
        <v>0.5</v>
      </c>
      <c r="J21">
        <v>0.30394860000000001</v>
      </c>
      <c r="K21">
        <v>0.87904891100000004</v>
      </c>
      <c r="P21">
        <v>-0.50865700000000003</v>
      </c>
    </row>
    <row r="22" spans="6:16">
      <c r="F22" t="s">
        <v>85</v>
      </c>
      <c r="G22">
        <v>-0.69804500000000003</v>
      </c>
      <c r="H22">
        <v>0.5</v>
      </c>
      <c r="I22">
        <v>1</v>
      </c>
      <c r="J22">
        <v>-7.7095700000000003E-2</v>
      </c>
      <c r="K22">
        <v>0.87904891100000004</v>
      </c>
      <c r="P22">
        <v>-0.69804600000000006</v>
      </c>
    </row>
    <row r="23" spans="6:16">
      <c r="F23" t="s">
        <v>85</v>
      </c>
      <c r="G23">
        <v>-0.69804600000000006</v>
      </c>
      <c r="H23">
        <v>1</v>
      </c>
      <c r="I23" s="1">
        <v>9.9999999999999997E+98</v>
      </c>
      <c r="J23">
        <v>-0.63671149999999999</v>
      </c>
      <c r="K23">
        <v>0.87904891100000004</v>
      </c>
      <c r="P23">
        <v>-0.69804600000000006</v>
      </c>
    </row>
    <row r="24" spans="6:16">
      <c r="F24" t="s">
        <v>85</v>
      </c>
      <c r="G24">
        <v>-0.69804500000000003</v>
      </c>
      <c r="H24" t="s">
        <v>9</v>
      </c>
      <c r="I24" t="s">
        <v>9</v>
      </c>
      <c r="J24">
        <v>0</v>
      </c>
      <c r="K24">
        <v>0.87904891100000004</v>
      </c>
      <c r="P24">
        <v>-0.69804500000000003</v>
      </c>
    </row>
    <row r="25" spans="6:16">
      <c r="F25" t="s">
        <v>86</v>
      </c>
      <c r="G25">
        <v>-0.64227500000000004</v>
      </c>
      <c r="H25" s="1">
        <v>-9.9999999999999997E+98</v>
      </c>
      <c r="I25">
        <v>0.2</v>
      </c>
      <c r="J25">
        <v>0.89724250000000005</v>
      </c>
      <c r="K25">
        <v>1.2632526669999999</v>
      </c>
      <c r="P25">
        <v>-0.69804600000000006</v>
      </c>
    </row>
    <row r="26" spans="6:16">
      <c r="F26" t="s">
        <v>86</v>
      </c>
      <c r="G26">
        <v>-0.64227500000000004</v>
      </c>
      <c r="H26">
        <v>0.2</v>
      </c>
      <c r="I26">
        <v>0.6</v>
      </c>
      <c r="J26">
        <v>-0.19993730000000001</v>
      </c>
      <c r="K26">
        <v>1.2632526669999999</v>
      </c>
      <c r="P26">
        <v>-0.69804500000000003</v>
      </c>
    </row>
    <row r="27" spans="6:16">
      <c r="F27" t="s">
        <v>86</v>
      </c>
      <c r="G27">
        <v>-0.64227500000000004</v>
      </c>
      <c r="H27">
        <v>0.6</v>
      </c>
      <c r="I27">
        <v>2.5</v>
      </c>
      <c r="J27">
        <v>7.4214600000000006E-2</v>
      </c>
      <c r="K27">
        <v>1.2632526669999999</v>
      </c>
      <c r="P27">
        <v>-0.64227500000000004</v>
      </c>
    </row>
    <row r="28" spans="6:16">
      <c r="F28" t="s">
        <v>86</v>
      </c>
      <c r="G28">
        <v>-0.64227500000000004</v>
      </c>
      <c r="H28">
        <v>2.5</v>
      </c>
      <c r="I28" s="1">
        <v>9.9999999999999997E+98</v>
      </c>
      <c r="J28">
        <v>0.46023140000000001</v>
      </c>
      <c r="K28">
        <v>1.2632526669999999</v>
      </c>
      <c r="P28">
        <v>-0.64227500000000004</v>
      </c>
    </row>
    <row r="29" spans="6:16">
      <c r="F29" t="s">
        <v>86</v>
      </c>
      <c r="G29">
        <v>-0.64227500000000004</v>
      </c>
      <c r="H29" t="s">
        <v>9</v>
      </c>
      <c r="I29" t="s">
        <v>9</v>
      </c>
      <c r="J29">
        <v>0</v>
      </c>
      <c r="K29">
        <v>1.2632526669999999</v>
      </c>
      <c r="P29">
        <v>-0.64227500000000004</v>
      </c>
    </row>
    <row r="30" spans="6:16">
      <c r="F30" t="s">
        <v>87</v>
      </c>
      <c r="G30">
        <v>-0.420713</v>
      </c>
      <c r="H30" s="1">
        <v>-9.9999999999999997E+98</v>
      </c>
      <c r="I30">
        <v>0.02</v>
      </c>
      <c r="J30">
        <v>-0.31992720000000002</v>
      </c>
      <c r="K30">
        <v>8.5284249999999992E-3</v>
      </c>
      <c r="P30">
        <v>-0.64227500000000004</v>
      </c>
    </row>
    <row r="31" spans="6:16">
      <c r="F31" t="s">
        <v>87</v>
      </c>
      <c r="G31">
        <v>-0.420713</v>
      </c>
      <c r="H31">
        <v>0.02</v>
      </c>
      <c r="I31">
        <v>0.1</v>
      </c>
      <c r="J31">
        <v>0.21932360000000001</v>
      </c>
      <c r="K31">
        <v>8.5284249999999992E-3</v>
      </c>
      <c r="P31">
        <v>-0.64227500000000004</v>
      </c>
    </row>
    <row r="32" spans="6:16">
      <c r="F32" t="s">
        <v>87</v>
      </c>
      <c r="G32">
        <v>-0.420713</v>
      </c>
      <c r="H32">
        <v>0.1</v>
      </c>
      <c r="I32">
        <v>0.2</v>
      </c>
      <c r="J32">
        <v>0.2966799</v>
      </c>
      <c r="K32">
        <v>8.5284249999999992E-3</v>
      </c>
      <c r="P32">
        <v>-0.420713</v>
      </c>
    </row>
    <row r="33" spans="6:16">
      <c r="F33" t="s">
        <v>87</v>
      </c>
      <c r="G33">
        <v>-0.420713</v>
      </c>
      <c r="H33">
        <v>0.2</v>
      </c>
      <c r="I33" s="1">
        <v>9.9999999999999997E+98</v>
      </c>
      <c r="J33">
        <v>0.43556309999999998</v>
      </c>
      <c r="K33">
        <v>8.5284249999999992E-3</v>
      </c>
      <c r="P33">
        <v>-0.420713</v>
      </c>
    </row>
    <row r="34" spans="6:16">
      <c r="F34" t="s">
        <v>87</v>
      </c>
      <c r="G34">
        <v>-0.42071799999999998</v>
      </c>
      <c r="H34" t="s">
        <v>9</v>
      </c>
      <c r="I34" t="s">
        <v>9</v>
      </c>
      <c r="J34">
        <v>0</v>
      </c>
      <c r="K34">
        <v>8.5284249999999992E-3</v>
      </c>
      <c r="P34">
        <v>-0.420713</v>
      </c>
    </row>
    <row r="35" spans="6:16">
      <c r="F35" t="s">
        <v>88</v>
      </c>
      <c r="G35">
        <v>-0.47305700000000001</v>
      </c>
      <c r="H35" s="1">
        <v>-9.9999999999999997E+98</v>
      </c>
      <c r="I35">
        <v>15</v>
      </c>
      <c r="J35">
        <v>0.6696358</v>
      </c>
      <c r="K35">
        <v>147.80033900000001</v>
      </c>
      <c r="P35">
        <v>-0.420713</v>
      </c>
    </row>
    <row r="36" spans="6:16">
      <c r="F36" t="s">
        <v>88</v>
      </c>
      <c r="G36">
        <v>-0.47305700000000001</v>
      </c>
      <c r="H36">
        <v>15</v>
      </c>
      <c r="I36">
        <v>30</v>
      </c>
      <c r="J36">
        <v>0.34244839999999999</v>
      </c>
      <c r="K36">
        <v>147.80033900000001</v>
      </c>
      <c r="P36">
        <v>-0.42071799999999998</v>
      </c>
    </row>
    <row r="37" spans="6:16">
      <c r="F37" t="s">
        <v>88</v>
      </c>
      <c r="G37">
        <v>-0.47305700000000001</v>
      </c>
      <c r="H37">
        <v>30</v>
      </c>
      <c r="I37">
        <v>90</v>
      </c>
      <c r="J37">
        <v>0.20690990000000001</v>
      </c>
      <c r="K37">
        <v>147.80033900000001</v>
      </c>
      <c r="P37">
        <v>-0.47305700000000001</v>
      </c>
    </row>
    <row r="38" spans="6:16">
      <c r="F38" t="s">
        <v>88</v>
      </c>
      <c r="G38">
        <v>-0.47305700000000001</v>
      </c>
      <c r="H38">
        <v>90</v>
      </c>
      <c r="I38">
        <v>150</v>
      </c>
      <c r="J38">
        <v>-0.19226090000000001</v>
      </c>
      <c r="K38">
        <v>147.80033900000001</v>
      </c>
      <c r="P38">
        <v>-0.47305700000000001</v>
      </c>
    </row>
    <row r="39" spans="6:16">
      <c r="F39" t="s">
        <v>88</v>
      </c>
      <c r="G39">
        <v>-0.47305700000000001</v>
      </c>
      <c r="H39">
        <v>150</v>
      </c>
      <c r="I39" s="1">
        <v>9.9999999999999997E+98</v>
      </c>
      <c r="J39">
        <v>0.59999100000000005</v>
      </c>
      <c r="K39">
        <v>147.80033900000001</v>
      </c>
      <c r="P39">
        <v>0.47305700000000001</v>
      </c>
    </row>
    <row r="40" spans="6:16">
      <c r="F40" t="s">
        <v>88</v>
      </c>
      <c r="G40">
        <v>-0.47305700000000001</v>
      </c>
      <c r="H40" t="s">
        <v>9</v>
      </c>
      <c r="I40" t="s">
        <v>9</v>
      </c>
      <c r="J40">
        <v>0</v>
      </c>
      <c r="K40">
        <v>147.80033900000001</v>
      </c>
      <c r="P40">
        <v>-0.47305700000000001</v>
      </c>
    </row>
    <row r="41" spans="6:16">
      <c r="P41">
        <v>-0.47305700000000001</v>
      </c>
    </row>
    <row r="42" spans="6:16">
      <c r="P42">
        <v>-473057</v>
      </c>
    </row>
    <row r="54" spans="7:7">
      <c r="G54" t="s">
        <v>9</v>
      </c>
    </row>
    <row r="56" spans="7:7">
      <c r="G56">
        <v>2.1892233750000001</v>
      </c>
    </row>
    <row r="58" spans="7:7">
      <c r="G58">
        <v>-0.493728</v>
      </c>
    </row>
    <row r="60" spans="7:7">
      <c r="G60" s="1">
        <v>-9.9999999999999997E+98</v>
      </c>
    </row>
    <row r="62" spans="7:7">
      <c r="G62">
        <v>2.1892233750000001</v>
      </c>
    </row>
    <row r="64" spans="7:7">
      <c r="G64">
        <v>-0.493728</v>
      </c>
    </row>
    <row r="66" spans="7:7">
      <c r="G66">
        <v>-0.69430170000000002</v>
      </c>
    </row>
    <row r="68" spans="7:7">
      <c r="G68">
        <v>1</v>
      </c>
    </row>
    <row r="70" spans="7:7">
      <c r="G70">
        <v>1.58</v>
      </c>
    </row>
    <row r="72" spans="7:7">
      <c r="G72">
        <v>2.2867830420000002</v>
      </c>
    </row>
    <row r="74" spans="7:7">
      <c r="G74">
        <v>-0.493728</v>
      </c>
    </row>
    <row r="76" spans="7:7">
      <c r="G76">
        <v>0.60389470000000001</v>
      </c>
    </row>
    <row r="78" spans="7:7">
      <c r="G78">
        <v>2.2867830420000002</v>
      </c>
    </row>
    <row r="80" spans="7:7">
      <c r="G80">
        <v>1.58</v>
      </c>
    </row>
    <row r="82" spans="7:7">
      <c r="G82">
        <v>2</v>
      </c>
    </row>
    <row r="84" spans="7:7">
      <c r="G84">
        <v>-0.493728</v>
      </c>
    </row>
    <row r="86" spans="7:7">
      <c r="G86">
        <v>0.1143584</v>
      </c>
    </row>
    <row r="88" spans="7:7">
      <c r="G88" s="1">
        <v>9.9999999999999997E+98</v>
      </c>
    </row>
    <row r="90" spans="7:7">
      <c r="G90">
        <v>2.2867830420000002</v>
      </c>
    </row>
    <row r="92" spans="7:7">
      <c r="G92">
        <v>2</v>
      </c>
    </row>
    <row r="94" spans="7:7">
      <c r="G94" t="s">
        <v>62</v>
      </c>
    </row>
    <row r="96" spans="7:7">
      <c r="G96">
        <v>0.154223</v>
      </c>
    </row>
    <row r="98" spans="7:7">
      <c r="G98" t="s">
        <v>9</v>
      </c>
    </row>
    <row r="100" spans="7:7">
      <c r="G100">
        <v>2.2867830420000002</v>
      </c>
    </row>
    <row r="102" spans="7:7">
      <c r="G102">
        <v>-0.50865700000000003</v>
      </c>
    </row>
    <row r="103" spans="7:7">
      <c r="G103" t="s">
        <v>63</v>
      </c>
    </row>
    <row r="105" spans="7:7">
      <c r="G105">
        <v>0</v>
      </c>
    </row>
    <row r="107" spans="7:7">
      <c r="G107">
        <v>2.2867830420000002</v>
      </c>
    </row>
    <row r="109" spans="7:7">
      <c r="G109">
        <v>-0.50865700000000003</v>
      </c>
    </row>
    <row r="111" spans="7:7">
      <c r="G111">
        <v>-0.4702712</v>
      </c>
    </row>
    <row r="113" spans="7:7">
      <c r="G113">
        <v>1.0749999999999999E-2</v>
      </c>
    </row>
    <row r="114" spans="7:7">
      <c r="G114">
        <v>2.3015633000000002</v>
      </c>
    </row>
    <row r="116" spans="7:7">
      <c r="G116">
        <v>2.5398101899999999</v>
      </c>
    </row>
    <row r="118" spans="7:7">
      <c r="G118">
        <v>-0.14179149999999999</v>
      </c>
    </row>
    <row r="120" spans="7:7">
      <c r="G120">
        <v>-0.50865700000000003</v>
      </c>
    </row>
    <row r="122" spans="7:7">
      <c r="G122" t="s">
        <v>64</v>
      </c>
    </row>
    <row r="124" spans="7:7">
      <c r="G124">
        <v>2.5398101899999999</v>
      </c>
    </row>
    <row r="126" spans="7:7">
      <c r="G126">
        <v>4.6007468999999999</v>
      </c>
    </row>
    <row r="128" spans="7:7">
      <c r="G128">
        <v>-0.1174432</v>
      </c>
    </row>
    <row r="130" spans="7:7">
      <c r="G130">
        <v>-0.50865700000000003</v>
      </c>
    </row>
    <row r="132" spans="7:7">
      <c r="G132">
        <v>2.5398101899999999</v>
      </c>
    </row>
    <row r="134" spans="7:7">
      <c r="G134">
        <v>4.6007470000000001</v>
      </c>
    </row>
    <row r="135" spans="7:7">
      <c r="G135">
        <v>9.7796482999999998</v>
      </c>
    </row>
    <row r="137" spans="7:7">
      <c r="G137">
        <v>-8.9240600000000003E-2</v>
      </c>
    </row>
    <row r="139" spans="7:7">
      <c r="G139">
        <v>0.50865700000000003</v>
      </c>
    </row>
    <row r="141" spans="7:7">
      <c r="G141">
        <v>2.5398101899999999</v>
      </c>
    </row>
    <row r="143" spans="7:7">
      <c r="G143" t="s">
        <v>65</v>
      </c>
    </row>
    <row r="145" spans="7:7">
      <c r="G145">
        <v>0.24219170000000001</v>
      </c>
    </row>
    <row r="147" spans="7:7">
      <c r="G147">
        <v>2.5398101899999999</v>
      </c>
    </row>
    <row r="149" spans="7:7">
      <c r="G149">
        <v>-0.50865700000000003</v>
      </c>
    </row>
    <row r="151" spans="7:7">
      <c r="G151" t="s">
        <v>66</v>
      </c>
    </row>
    <row r="153" spans="7:7">
      <c r="G153" s="1">
        <v>9.9999999999999997E+98</v>
      </c>
    </row>
    <row r="155" spans="7:7">
      <c r="G155">
        <v>0.87346349999999995</v>
      </c>
    </row>
    <row r="157" spans="7:7">
      <c r="G157">
        <v>2.5398101899999999</v>
      </c>
    </row>
    <row r="159" spans="7:7">
      <c r="G159" t="s">
        <v>67</v>
      </c>
    </row>
    <row r="161" spans="7:7">
      <c r="G161" t="s">
        <v>9</v>
      </c>
    </row>
    <row r="163" spans="7:7">
      <c r="G163" t="s">
        <v>68</v>
      </c>
    </row>
    <row r="165" spans="7:7">
      <c r="G165">
        <v>-0.69804600000000006</v>
      </c>
    </row>
    <row r="167" spans="7:7">
      <c r="G167" s="1">
        <v>-9.9999999999999997E+98</v>
      </c>
    </row>
    <row r="169" spans="7:7">
      <c r="G169">
        <v>0.25</v>
      </c>
    </row>
    <row r="171" spans="7:7">
      <c r="G171">
        <v>0.38795570000000001</v>
      </c>
    </row>
    <row r="173" spans="7:7">
      <c r="G173">
        <v>0.87904891100000004</v>
      </c>
    </row>
    <row r="175" spans="7:7">
      <c r="G175">
        <v>0</v>
      </c>
    </row>
    <row r="177" spans="7:7">
      <c r="G177">
        <v>-0.69804600000000006</v>
      </c>
    </row>
    <row r="179" spans="7:7">
      <c r="G179">
        <v>0.25</v>
      </c>
    </row>
    <row r="181" spans="7:7">
      <c r="G181">
        <v>0.5</v>
      </c>
    </row>
    <row r="183" spans="7:7">
      <c r="G183">
        <v>0.30394860000000001</v>
      </c>
    </row>
    <row r="185" spans="7:7">
      <c r="G185">
        <v>0.87904891100000004</v>
      </c>
    </row>
    <row r="187" spans="7:7">
      <c r="G187">
        <v>0</v>
      </c>
    </row>
    <row r="189" spans="7:7">
      <c r="G189">
        <v>-0.69804600000000006</v>
      </c>
    </row>
    <row r="191" spans="7:7">
      <c r="G191">
        <v>0.5</v>
      </c>
    </row>
    <row r="193" spans="7:7">
      <c r="G193">
        <v>-1</v>
      </c>
    </row>
    <row r="195" spans="7:7">
      <c r="G195">
        <v>-7.7095700000000003E-2</v>
      </c>
    </row>
    <row r="197" spans="7:7">
      <c r="G197">
        <v>0.87904891100000004</v>
      </c>
    </row>
    <row r="199" spans="7:7">
      <c r="G199">
        <v>1</v>
      </c>
    </row>
    <row r="201" spans="7:7">
      <c r="G201">
        <v>-0.69804600000000006</v>
      </c>
    </row>
    <row r="203" spans="7:7">
      <c r="G203">
        <v>1</v>
      </c>
    </row>
    <row r="205" spans="7:7">
      <c r="G205" s="1">
        <v>9.9999999999999997E+98</v>
      </c>
    </row>
    <row r="207" spans="7:7">
      <c r="G207">
        <v>-0.63671149999999999</v>
      </c>
    </row>
    <row r="209" spans="7:7">
      <c r="G209">
        <v>0.87904891100000004</v>
      </c>
    </row>
    <row r="211" spans="7:7">
      <c r="G211">
        <v>0</v>
      </c>
    </row>
    <row r="213" spans="7:7">
      <c r="G213" t="s">
        <v>69</v>
      </c>
    </row>
    <row r="215" spans="7:7">
      <c r="G215" t="s">
        <v>9</v>
      </c>
    </row>
    <row r="217" spans="7:7">
      <c r="G217">
        <v>0.87904891100000004</v>
      </c>
    </row>
    <row r="219" spans="7:7">
      <c r="G219">
        <v>0</v>
      </c>
    </row>
    <row r="221" spans="7:7">
      <c r="G221">
        <v>-0.64227500000000004</v>
      </c>
    </row>
    <row r="222" spans="7:7">
      <c r="G222" s="1">
        <v>-9.9999999999999997E+98</v>
      </c>
    </row>
    <row r="224" spans="7:7">
      <c r="G224">
        <v>0.2</v>
      </c>
    </row>
    <row r="226" spans="7:7">
      <c r="G226">
        <v>-0.89724250000000005</v>
      </c>
    </row>
    <row r="228" spans="7:7">
      <c r="G228">
        <v>1.2632526669999999</v>
      </c>
    </row>
    <row r="230" spans="7:7">
      <c r="G230">
        <v>0</v>
      </c>
    </row>
    <row r="232" spans="7:7">
      <c r="G232">
        <v>-0.64227500000000004</v>
      </c>
    </row>
    <row r="234" spans="7:7">
      <c r="G234">
        <v>2</v>
      </c>
    </row>
    <row r="236" spans="7:7">
      <c r="G236">
        <v>0.6</v>
      </c>
    </row>
    <row r="238" spans="7:7">
      <c r="G238">
        <v>-0.19993730000000001</v>
      </c>
    </row>
    <row r="240" spans="7:7">
      <c r="G240">
        <v>1.2632526669999999</v>
      </c>
    </row>
    <row r="242" spans="7:7">
      <c r="G242">
        <v>0</v>
      </c>
    </row>
    <row r="244" spans="7:7">
      <c r="G244">
        <v>-0.64227500000000004</v>
      </c>
    </row>
    <row r="246" spans="7:7">
      <c r="G246">
        <v>0.6</v>
      </c>
    </row>
    <row r="248" spans="7:7">
      <c r="G248">
        <v>2.5</v>
      </c>
    </row>
    <row r="250" spans="7:7">
      <c r="G250">
        <v>7.4214600000000006E-2</v>
      </c>
    </row>
    <row r="252" spans="7:7">
      <c r="G252">
        <v>1.2632526669999999</v>
      </c>
    </row>
    <row r="254" spans="7:7">
      <c r="G254">
        <v>1</v>
      </c>
    </row>
    <row r="256" spans="7:7">
      <c r="G256">
        <v>-0.64227500000000004</v>
      </c>
    </row>
    <row r="258" spans="7:7">
      <c r="G258">
        <v>2.5</v>
      </c>
    </row>
    <row r="260" spans="7:7">
      <c r="G260" s="1">
        <v>9.9999999999999997E+98</v>
      </c>
    </row>
    <row r="262" spans="7:7">
      <c r="G262">
        <v>0.46023140000000001</v>
      </c>
    </row>
    <row r="264" spans="7:7">
      <c r="G264">
        <v>1.2632526669999999</v>
      </c>
    </row>
    <row r="266" spans="7:7">
      <c r="G266">
        <v>0</v>
      </c>
    </row>
    <row r="268" spans="7:7">
      <c r="G268" t="s">
        <v>70</v>
      </c>
    </row>
    <row r="270" spans="7:7">
      <c r="G270" t="s">
        <v>9</v>
      </c>
    </row>
    <row r="272" spans="7:7">
      <c r="G272">
        <v>1.2632526669999999</v>
      </c>
    </row>
    <row r="274" spans="7:7">
      <c r="G274">
        <v>-0.420713</v>
      </c>
    </row>
    <row r="275" spans="7:7">
      <c r="G275" s="1">
        <v>-9.9999999999999998E+100</v>
      </c>
    </row>
    <row r="277" spans="7:7">
      <c r="G277">
        <v>0.02</v>
      </c>
    </row>
    <row r="279" spans="7:7">
      <c r="G279">
        <v>-0.31992720000000002</v>
      </c>
    </row>
    <row r="281" spans="7:7">
      <c r="G281">
        <v>8.5284249999999992E-3</v>
      </c>
    </row>
    <row r="283" spans="7:7">
      <c r="G283">
        <v>1</v>
      </c>
    </row>
    <row r="285" spans="7:7">
      <c r="G285">
        <v>-0.420713</v>
      </c>
    </row>
    <row r="287" spans="7:7">
      <c r="G287">
        <v>0.02</v>
      </c>
    </row>
    <row r="289" spans="7:7">
      <c r="G289">
        <v>0.1</v>
      </c>
    </row>
    <row r="291" spans="7:7">
      <c r="G291">
        <v>0.21932360000000001</v>
      </c>
    </row>
    <row r="293" spans="7:7">
      <c r="G293">
        <v>8.5284249999999992E-3</v>
      </c>
    </row>
    <row r="295" spans="7:7">
      <c r="G295">
        <v>0</v>
      </c>
    </row>
    <row r="297" spans="7:7">
      <c r="G297">
        <v>-0.420713</v>
      </c>
    </row>
    <row r="299" spans="7:7">
      <c r="G299">
        <v>0.1</v>
      </c>
    </row>
    <row r="301" spans="7:7">
      <c r="G301">
        <v>0.2</v>
      </c>
    </row>
    <row r="303" spans="7:7">
      <c r="G303">
        <v>0.2966799</v>
      </c>
    </row>
    <row r="305" spans="7:7">
      <c r="G305">
        <v>8.5284249999999992E-3</v>
      </c>
    </row>
    <row r="307" spans="7:7">
      <c r="G307">
        <v>0</v>
      </c>
    </row>
    <row r="309" spans="7:7">
      <c r="G309">
        <v>0.420713</v>
      </c>
    </row>
    <row r="311" spans="7:7">
      <c r="G311">
        <v>0.2</v>
      </c>
    </row>
    <row r="313" spans="7:7">
      <c r="G313" s="1">
        <v>9.9999999999999997E+98</v>
      </c>
    </row>
    <row r="315" spans="7:7">
      <c r="G315">
        <v>0.43556309999999998</v>
      </c>
    </row>
    <row r="317" spans="7:7">
      <c r="G317">
        <v>8.5284249999999992E-3</v>
      </c>
    </row>
    <row r="319" spans="7:7">
      <c r="G319" t="s">
        <v>71</v>
      </c>
    </row>
    <row r="321" spans="7:7">
      <c r="G321" t="s">
        <v>9</v>
      </c>
    </row>
    <row r="323" spans="7:7">
      <c r="G323">
        <v>8.5284249999999992E-3</v>
      </c>
    </row>
    <row r="324" spans="7:7">
      <c r="G324">
        <v>147.80033900000001</v>
      </c>
    </row>
    <row r="326" spans="7:7">
      <c r="G326">
        <v>0</v>
      </c>
    </row>
    <row r="328" spans="7:7">
      <c r="G328">
        <v>0.47305700000000001</v>
      </c>
    </row>
    <row r="330" spans="7:7">
      <c r="G330" s="1">
        <v>-9.9999999999999998E+100</v>
      </c>
    </row>
    <row r="332" spans="7:7">
      <c r="G332">
        <v>15</v>
      </c>
    </row>
    <row r="334" spans="7:7">
      <c r="G334">
        <v>0.6696358</v>
      </c>
    </row>
    <row r="336" spans="7:7">
      <c r="G336">
        <v>-0.47305700000000001</v>
      </c>
    </row>
    <row r="338" spans="7:7">
      <c r="G338">
        <v>15</v>
      </c>
    </row>
    <row r="340" spans="7:7">
      <c r="G340">
        <v>3424484</v>
      </c>
    </row>
    <row r="342" spans="7:7">
      <c r="G342">
        <v>147.80033900000001</v>
      </c>
    </row>
    <row r="344" spans="7:7">
      <c r="G344">
        <v>30</v>
      </c>
    </row>
    <row r="346" spans="7:7">
      <c r="G346">
        <v>90</v>
      </c>
    </row>
    <row r="348" spans="7:7">
      <c r="G348">
        <v>0.20690990000000001</v>
      </c>
    </row>
    <row r="350" spans="7:7">
      <c r="G350">
        <v>147.80033900000001</v>
      </c>
    </row>
    <row r="352" spans="7:7">
      <c r="G352">
        <v>0.47305700000000001</v>
      </c>
    </row>
    <row r="354" spans="7:7">
      <c r="G354">
        <v>90</v>
      </c>
    </row>
    <row r="356" spans="7:7">
      <c r="G356">
        <v>150</v>
      </c>
    </row>
    <row r="358" spans="7:7">
      <c r="G358">
        <v>0.19226090000000001</v>
      </c>
    </row>
    <row r="360" spans="7:7">
      <c r="G360" t="s">
        <v>72</v>
      </c>
    </row>
    <row r="362" spans="7:7">
      <c r="G362">
        <v>0.47305700000000001</v>
      </c>
    </row>
    <row r="364" spans="7:7">
      <c r="G364">
        <v>0</v>
      </c>
    </row>
    <row r="366" spans="7:7">
      <c r="G366">
        <v>0.47305700000000001</v>
      </c>
    </row>
    <row r="368" spans="7:7">
      <c r="G368">
        <v>150</v>
      </c>
    </row>
    <row r="370" spans="7:7">
      <c r="G370" t="s">
        <v>73</v>
      </c>
    </row>
    <row r="372" spans="7:7">
      <c r="G372">
        <v>0.59999100000000005</v>
      </c>
    </row>
    <row r="374" spans="7:7">
      <c r="G374">
        <v>147.80033900000001</v>
      </c>
    </row>
    <row r="376" spans="7:7">
      <c r="G376" t="s">
        <v>74</v>
      </c>
    </row>
    <row r="378" spans="7:7">
      <c r="G378" t="s">
        <v>9</v>
      </c>
    </row>
    <row r="380" spans="7:7">
      <c r="G380">
        <v>0</v>
      </c>
    </row>
    <row r="382" spans="7:7">
      <c r="G382">
        <v>147.80033900000001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468E-3D69-418B-BBF5-66E8DD59E17A}">
  <dimension ref="A1:V209"/>
  <sheetViews>
    <sheetView topLeftCell="A90" workbookViewId="0">
      <selection activeCell="D115" sqref="D115"/>
    </sheetView>
  </sheetViews>
  <sheetFormatPr defaultRowHeight="13.5"/>
  <sheetData>
    <row r="1" spans="1:22" ht="13.9">
      <c r="A1" s="2" t="s">
        <v>59</v>
      </c>
      <c r="B1" s="2" t="s">
        <v>60</v>
      </c>
      <c r="C1" s="2" t="s">
        <v>61</v>
      </c>
      <c r="D1" s="2" t="s">
        <v>110</v>
      </c>
      <c r="E1" s="3" t="s">
        <v>1</v>
      </c>
      <c r="F1" s="3" t="s">
        <v>120</v>
      </c>
      <c r="G1" s="3" t="s">
        <v>121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22">
      <c r="D2" t="s">
        <v>111</v>
      </c>
      <c r="E2">
        <v>6.4000000000000001E-2</v>
      </c>
      <c r="F2">
        <v>1</v>
      </c>
      <c r="G2">
        <v>1</v>
      </c>
      <c r="H2">
        <v>-0.2666</v>
      </c>
    </row>
    <row r="3" spans="1:22">
      <c r="D3" t="s">
        <v>111</v>
      </c>
      <c r="E3">
        <v>6.4000000000000001E-2</v>
      </c>
      <c r="F3">
        <v>2</v>
      </c>
      <c r="G3">
        <v>1</v>
      </c>
      <c r="H3">
        <v>-0.2666</v>
      </c>
      <c r="V3" t="s">
        <v>153</v>
      </c>
    </row>
    <row r="4" spans="1:22">
      <c r="D4" t="s">
        <v>111</v>
      </c>
      <c r="E4">
        <v>5.3999999999999999E-2</v>
      </c>
      <c r="F4">
        <v>3</v>
      </c>
      <c r="G4">
        <v>2</v>
      </c>
      <c r="H4">
        <v>1.8993</v>
      </c>
    </row>
    <row r="5" spans="1:22">
      <c r="D5" t="s">
        <v>111</v>
      </c>
      <c r="E5">
        <v>6.4000000000000001E-2</v>
      </c>
      <c r="F5">
        <v>4</v>
      </c>
      <c r="G5">
        <v>3</v>
      </c>
      <c r="H5">
        <v>4.0651999999999999</v>
      </c>
    </row>
    <row r="6" spans="1:22">
      <c r="A6">
        <v>0.05</v>
      </c>
      <c r="D6" t="s">
        <v>112</v>
      </c>
      <c r="F6">
        <v>1</v>
      </c>
      <c r="G6">
        <v>1</v>
      </c>
      <c r="H6">
        <v>-1.2974000000000001</v>
      </c>
    </row>
    <row r="7" spans="1:22">
      <c r="D7" t="s">
        <v>112</v>
      </c>
      <c r="E7">
        <v>0.05</v>
      </c>
      <c r="F7">
        <v>2</v>
      </c>
      <c r="G7">
        <v>2</v>
      </c>
      <c r="H7">
        <v>-0.43659999999999999</v>
      </c>
    </row>
    <row r="8" spans="1:22">
      <c r="D8" t="s">
        <v>112</v>
      </c>
      <c r="E8">
        <v>0.05</v>
      </c>
      <c r="F8">
        <v>3</v>
      </c>
      <c r="G8">
        <v>3</v>
      </c>
      <c r="H8">
        <v>0.42420000000000002</v>
      </c>
    </row>
    <row r="9" spans="1:22">
      <c r="D9" t="s">
        <v>112</v>
      </c>
      <c r="E9">
        <v>0.05</v>
      </c>
      <c r="F9">
        <v>4</v>
      </c>
      <c r="G9">
        <v>4</v>
      </c>
      <c r="H9">
        <v>1.2849999999999999</v>
      </c>
    </row>
    <row r="10" spans="1:22">
      <c r="D10" t="s">
        <v>112</v>
      </c>
      <c r="E10">
        <v>0.05</v>
      </c>
      <c r="F10">
        <v>5</v>
      </c>
      <c r="G10">
        <v>5</v>
      </c>
      <c r="H10">
        <v>2.1457999999999999</v>
      </c>
    </row>
    <row r="11" spans="1:22">
      <c r="D11" t="s">
        <v>113</v>
      </c>
      <c r="E11">
        <v>4.9000000000000002E-2</v>
      </c>
      <c r="F11">
        <v>1</v>
      </c>
      <c r="G11">
        <v>1</v>
      </c>
      <c r="H11">
        <v>-0.79659999999999997</v>
      </c>
    </row>
    <row r="12" spans="1:22">
      <c r="D12" t="s">
        <v>113</v>
      </c>
      <c r="E12">
        <v>4.9000000000000002E-2</v>
      </c>
      <c r="F12">
        <v>2</v>
      </c>
      <c r="G12">
        <v>1</v>
      </c>
      <c r="H12">
        <v>-0.79659999999999997</v>
      </c>
    </row>
    <row r="13" spans="1:22">
      <c r="D13" t="s">
        <v>113</v>
      </c>
      <c r="E13">
        <v>4.9000000000000002E-2</v>
      </c>
      <c r="F13">
        <v>3</v>
      </c>
      <c r="G13">
        <v>1</v>
      </c>
      <c r="H13">
        <v>-0.79659999999999997</v>
      </c>
    </row>
    <row r="14" spans="1:22">
      <c r="D14" t="s">
        <v>113</v>
      </c>
      <c r="E14">
        <v>4.9000000000000002E-2</v>
      </c>
      <c r="F14">
        <v>4</v>
      </c>
      <c r="G14">
        <v>3</v>
      </c>
      <c r="H14">
        <v>0.75609999999999999</v>
      </c>
    </row>
    <row r="15" spans="1:22">
      <c r="D15" t="s">
        <v>113</v>
      </c>
      <c r="E15">
        <v>4.9000000000000002E-2</v>
      </c>
      <c r="F15">
        <v>5</v>
      </c>
      <c r="G15">
        <v>4</v>
      </c>
      <c r="H15">
        <v>1.5324</v>
      </c>
    </row>
    <row r="16" spans="1:22">
      <c r="D16" t="s">
        <v>113</v>
      </c>
      <c r="E16">
        <v>4.9000000000000002E-2</v>
      </c>
      <c r="F16">
        <v>6</v>
      </c>
      <c r="G16">
        <v>2</v>
      </c>
      <c r="H16">
        <v>-2.0299999999999999E-2</v>
      </c>
    </row>
    <row r="17" spans="4:8">
      <c r="D17" t="s">
        <v>114</v>
      </c>
      <c r="E17">
        <v>0.05</v>
      </c>
      <c r="F17">
        <v>1</v>
      </c>
      <c r="G17">
        <v>1</v>
      </c>
      <c r="H17">
        <v>-0.69879999999999998</v>
      </c>
    </row>
    <row r="18" spans="4:8">
      <c r="D18" t="s">
        <v>114</v>
      </c>
      <c r="E18">
        <v>0.05</v>
      </c>
      <c r="F18">
        <v>2</v>
      </c>
      <c r="G18">
        <v>1</v>
      </c>
      <c r="H18">
        <v>0.69879999999999998</v>
      </c>
    </row>
    <row r="19" spans="4:8">
      <c r="D19" t="s">
        <v>114</v>
      </c>
      <c r="E19">
        <v>0.05</v>
      </c>
      <c r="F19">
        <v>3</v>
      </c>
      <c r="G19">
        <v>1</v>
      </c>
      <c r="H19">
        <v>0.69879999999999998</v>
      </c>
    </row>
    <row r="20" spans="4:8">
      <c r="D20" t="s">
        <v>114</v>
      </c>
      <c r="E20">
        <v>0.05</v>
      </c>
      <c r="F20">
        <v>4</v>
      </c>
      <c r="G20">
        <v>2</v>
      </c>
      <c r="H20">
        <v>1.4271</v>
      </c>
    </row>
    <row r="21" spans="4:8">
      <c r="D21" t="s">
        <v>114</v>
      </c>
      <c r="E21">
        <v>0.05</v>
      </c>
      <c r="F21">
        <v>5</v>
      </c>
      <c r="G21">
        <v>2</v>
      </c>
      <c r="H21">
        <v>1.4271</v>
      </c>
    </row>
    <row r="22" spans="4:8">
      <c r="D22" t="s">
        <v>117</v>
      </c>
      <c r="E22">
        <v>2.5999999999999999E-2</v>
      </c>
      <c r="F22">
        <v>1</v>
      </c>
      <c r="G22">
        <v>1</v>
      </c>
      <c r="H22">
        <v>-0.51470000000000005</v>
      </c>
    </row>
    <row r="23" spans="4:8">
      <c r="D23" t="s">
        <v>117</v>
      </c>
      <c r="E23">
        <v>2.5999999999999999E-2</v>
      </c>
      <c r="F23">
        <v>2</v>
      </c>
      <c r="G23">
        <v>1</v>
      </c>
      <c r="H23">
        <v>-0.51470000000000005</v>
      </c>
    </row>
    <row r="24" spans="4:8">
      <c r="D24" t="s">
        <v>117</v>
      </c>
      <c r="E24">
        <v>2.5999999999999999E-2</v>
      </c>
      <c r="F24">
        <v>3</v>
      </c>
      <c r="G24">
        <v>1</v>
      </c>
      <c r="H24">
        <v>0.51470000000000005</v>
      </c>
    </row>
    <row r="25" spans="4:8">
      <c r="D25" t="s">
        <v>117</v>
      </c>
      <c r="E25">
        <v>2.5999999999999999E-2</v>
      </c>
      <c r="F25">
        <v>4</v>
      </c>
      <c r="G25">
        <v>2</v>
      </c>
      <c r="H25">
        <v>1.0802</v>
      </c>
    </row>
    <row r="26" spans="4:8">
      <c r="D26" t="s">
        <v>117</v>
      </c>
      <c r="E26">
        <v>2.5999999999999999E-2</v>
      </c>
      <c r="F26">
        <v>5</v>
      </c>
      <c r="G26">
        <v>3</v>
      </c>
      <c r="H26">
        <v>2.6751</v>
      </c>
    </row>
    <row r="27" spans="4:8">
      <c r="D27" t="s">
        <v>116</v>
      </c>
      <c r="E27">
        <v>2.9000000000000001E-2</v>
      </c>
      <c r="F27">
        <v>1</v>
      </c>
      <c r="G27">
        <v>1</v>
      </c>
      <c r="H27">
        <v>-0.91320000000000001</v>
      </c>
    </row>
    <row r="28" spans="4:8">
      <c r="D28" t="s">
        <v>116</v>
      </c>
      <c r="E28">
        <v>2.9000000000000001E-2</v>
      </c>
      <c r="F28">
        <v>2</v>
      </c>
      <c r="G28">
        <v>1</v>
      </c>
      <c r="H28">
        <v>-0.91320000000000001</v>
      </c>
    </row>
    <row r="29" spans="4:8">
      <c r="D29" t="s">
        <v>116</v>
      </c>
      <c r="E29">
        <v>2.9000000000000001E-2</v>
      </c>
      <c r="F29">
        <v>3</v>
      </c>
      <c r="G29">
        <v>2</v>
      </c>
      <c r="H29">
        <v>0.27400000000000002</v>
      </c>
    </row>
    <row r="30" spans="4:8">
      <c r="D30" t="s">
        <v>116</v>
      </c>
      <c r="E30">
        <v>2.9000000000000001E-2</v>
      </c>
      <c r="F30">
        <v>4</v>
      </c>
      <c r="G30">
        <v>3</v>
      </c>
      <c r="H30">
        <v>1.4612000000000001</v>
      </c>
    </row>
    <row r="31" spans="4:8">
      <c r="D31" t="s">
        <v>118</v>
      </c>
      <c r="E31">
        <v>3.1E-2</v>
      </c>
      <c r="F31">
        <v>1</v>
      </c>
      <c r="G31">
        <v>1</v>
      </c>
      <c r="H31">
        <v>-1.5166999999999999</v>
      </c>
    </row>
    <row r="32" spans="4:8">
      <c r="D32" t="s">
        <v>118</v>
      </c>
      <c r="E32">
        <v>3.1E-2</v>
      </c>
      <c r="F32">
        <v>2</v>
      </c>
      <c r="G32">
        <v>2</v>
      </c>
      <c r="H32">
        <v>-0.4546</v>
      </c>
    </row>
    <row r="33" spans="4:8">
      <c r="D33" t="s">
        <v>118</v>
      </c>
      <c r="E33">
        <v>3.1E-2</v>
      </c>
      <c r="F33">
        <v>3</v>
      </c>
      <c r="G33">
        <v>2</v>
      </c>
      <c r="H33">
        <v>-0.4546</v>
      </c>
    </row>
    <row r="34" spans="4:8">
      <c r="D34" t="s">
        <v>118</v>
      </c>
      <c r="E34">
        <v>3.1E-2</v>
      </c>
      <c r="F34">
        <v>4</v>
      </c>
      <c r="G34">
        <v>2</v>
      </c>
      <c r="H34">
        <v>-0.4546</v>
      </c>
    </row>
    <row r="35" spans="4:8">
      <c r="D35" t="s">
        <v>118</v>
      </c>
      <c r="E35">
        <v>3.1E-2</v>
      </c>
      <c r="F35">
        <v>5</v>
      </c>
      <c r="G35">
        <v>3</v>
      </c>
      <c r="H35">
        <v>0.60750000000000004</v>
      </c>
    </row>
    <row r="36" spans="4:8">
      <c r="D36" t="s">
        <v>118</v>
      </c>
      <c r="E36">
        <v>3.1E-2</v>
      </c>
      <c r="F36">
        <v>6</v>
      </c>
      <c r="G36">
        <v>4</v>
      </c>
      <c r="H36">
        <v>1.6697</v>
      </c>
    </row>
    <row r="37" spans="4:8">
      <c r="D37" t="s">
        <v>178</v>
      </c>
      <c r="E37">
        <v>2.8000000000000001E-2</v>
      </c>
      <c r="F37">
        <v>1</v>
      </c>
      <c r="G37">
        <v>1</v>
      </c>
      <c r="H37">
        <v>-0.29509999999999997</v>
      </c>
    </row>
    <row r="38" spans="4:8">
      <c r="D38" t="s">
        <v>178</v>
      </c>
      <c r="E38">
        <v>2.8000000000000001E-2</v>
      </c>
      <c r="F38">
        <v>2</v>
      </c>
      <c r="G38">
        <v>2</v>
      </c>
      <c r="H38">
        <v>1.6175999999999999</v>
      </c>
    </row>
    <row r="39" spans="4:8">
      <c r="D39" t="s">
        <v>178</v>
      </c>
      <c r="E39">
        <v>2.8000000000000001E-2</v>
      </c>
      <c r="F39">
        <v>3</v>
      </c>
      <c r="G39">
        <v>3</v>
      </c>
      <c r="H39">
        <v>3.5304000000000002</v>
      </c>
    </row>
    <row r="40" spans="4:8">
      <c r="D40" t="s">
        <v>178</v>
      </c>
      <c r="E40">
        <v>2.8000000000000001E-2</v>
      </c>
      <c r="F40">
        <v>4</v>
      </c>
      <c r="G40">
        <v>3</v>
      </c>
      <c r="H40">
        <v>3.5304000000000002</v>
      </c>
    </row>
    <row r="41" spans="4:8">
      <c r="D41" t="s">
        <v>179</v>
      </c>
      <c r="E41">
        <v>1.7000000000000001E-2</v>
      </c>
      <c r="F41">
        <v>1</v>
      </c>
      <c r="G41">
        <v>1</v>
      </c>
      <c r="H41">
        <v>-0.26869999999999999</v>
      </c>
    </row>
    <row r="42" spans="4:8">
      <c r="D42" t="s">
        <v>179</v>
      </c>
      <c r="E42">
        <v>1.7000000000000001E-2</v>
      </c>
      <c r="F42">
        <v>2</v>
      </c>
      <c r="G42">
        <v>1</v>
      </c>
      <c r="H42">
        <v>-0.26800000000000002</v>
      </c>
    </row>
    <row r="43" spans="4:8">
      <c r="D43" t="s">
        <v>179</v>
      </c>
      <c r="E43">
        <v>1.7000000000000001E-2</v>
      </c>
      <c r="F43">
        <v>3</v>
      </c>
      <c r="G43">
        <v>2</v>
      </c>
      <c r="H43">
        <v>2.3837999999999999</v>
      </c>
    </row>
    <row r="44" spans="4:8">
      <c r="D44" t="s">
        <v>179</v>
      </c>
      <c r="E44">
        <v>1.7000000000000001E-2</v>
      </c>
      <c r="F44">
        <v>4</v>
      </c>
      <c r="G44">
        <v>3</v>
      </c>
      <c r="H44">
        <v>5.0362999999999998</v>
      </c>
    </row>
    <row r="45" spans="4:8">
      <c r="D45" s="9" t="s">
        <v>127</v>
      </c>
      <c r="E45">
        <v>5.6000000000000001E-2</v>
      </c>
      <c r="F45">
        <v>1</v>
      </c>
      <c r="G45">
        <v>1</v>
      </c>
      <c r="H45">
        <v>-0.6673</v>
      </c>
    </row>
    <row r="46" spans="4:8">
      <c r="D46" s="9" t="s">
        <v>127</v>
      </c>
      <c r="E46">
        <v>5.6000000000000001E-2</v>
      </c>
      <c r="F46">
        <v>2</v>
      </c>
      <c r="G46">
        <v>2</v>
      </c>
      <c r="H46">
        <v>0.65620000000000001</v>
      </c>
    </row>
    <row r="47" spans="4:8">
      <c r="D47" s="9" t="s">
        <v>127</v>
      </c>
      <c r="E47">
        <v>5.6000000000000001E-2</v>
      </c>
      <c r="F47">
        <v>4</v>
      </c>
      <c r="G47">
        <v>3</v>
      </c>
      <c r="H47">
        <v>1.9796</v>
      </c>
    </row>
    <row r="48" spans="4:8">
      <c r="D48" s="9" t="s">
        <v>127</v>
      </c>
      <c r="E48">
        <v>5.6000000000000001E-2</v>
      </c>
      <c r="F48">
        <v>4</v>
      </c>
      <c r="G48">
        <v>3</v>
      </c>
      <c r="H48">
        <v>1.9796</v>
      </c>
    </row>
    <row r="49" spans="4:8">
      <c r="D49" s="9" t="s">
        <v>180</v>
      </c>
      <c r="E49">
        <v>4.3999999999999997E-2</v>
      </c>
      <c r="F49">
        <v>1</v>
      </c>
      <c r="G49">
        <v>1</v>
      </c>
      <c r="H49">
        <v>-0.52500000000000002</v>
      </c>
    </row>
    <row r="50" spans="4:8">
      <c r="D50" s="9" t="s">
        <v>180</v>
      </c>
      <c r="E50">
        <v>4.3999999999999997E-2</v>
      </c>
      <c r="F50">
        <v>2</v>
      </c>
      <c r="G50">
        <v>2</v>
      </c>
      <c r="H50">
        <v>1.6497999999999999</v>
      </c>
    </row>
    <row r="51" spans="4:8">
      <c r="D51" s="9" t="s">
        <v>180</v>
      </c>
      <c r="E51">
        <v>4.3999999999999997E-2</v>
      </c>
      <c r="F51">
        <v>3</v>
      </c>
      <c r="G51">
        <v>3</v>
      </c>
      <c r="H51">
        <v>3.8247</v>
      </c>
    </row>
    <row r="52" spans="4:8">
      <c r="D52" s="9" t="s">
        <v>180</v>
      </c>
      <c r="E52">
        <v>4.3999999999999997E-2</v>
      </c>
      <c r="F52">
        <v>4</v>
      </c>
      <c r="G52">
        <v>3</v>
      </c>
      <c r="H52">
        <v>3.8247</v>
      </c>
    </row>
    <row r="53" spans="4:8">
      <c r="D53" s="9" t="s">
        <v>129</v>
      </c>
      <c r="E53">
        <v>3.9E-2</v>
      </c>
      <c r="F53">
        <v>1</v>
      </c>
      <c r="G53">
        <v>1</v>
      </c>
      <c r="H53">
        <v>-0.69610000000000005</v>
      </c>
    </row>
    <row r="54" spans="4:8">
      <c r="D54" s="9" t="s">
        <v>129</v>
      </c>
      <c r="E54">
        <v>3.9E-2</v>
      </c>
      <c r="F54">
        <v>2</v>
      </c>
      <c r="G54">
        <v>2</v>
      </c>
      <c r="H54">
        <v>1.1181000000000001</v>
      </c>
    </row>
    <row r="55" spans="4:8">
      <c r="D55" s="9" t="s">
        <v>129</v>
      </c>
      <c r="E55">
        <v>3.9E-2</v>
      </c>
      <c r="F55">
        <v>3</v>
      </c>
      <c r="G55">
        <v>2</v>
      </c>
      <c r="H55">
        <v>1.1181000000000001</v>
      </c>
    </row>
    <row r="56" spans="4:8">
      <c r="D56" s="9" t="s">
        <v>129</v>
      </c>
      <c r="E56">
        <v>3.9E-2</v>
      </c>
      <c r="F56">
        <v>4</v>
      </c>
      <c r="G56">
        <v>3</v>
      </c>
      <c r="H56">
        <v>2.9323000000000001</v>
      </c>
    </row>
    <row r="57" spans="4:8">
      <c r="D57" s="9" t="s">
        <v>129</v>
      </c>
      <c r="E57">
        <v>3.9E-2</v>
      </c>
      <c r="F57">
        <v>5</v>
      </c>
      <c r="H57">
        <v>0</v>
      </c>
    </row>
    <row r="58" spans="4:8">
      <c r="D58" s="9" t="s">
        <v>129</v>
      </c>
      <c r="E58">
        <v>3.9E-2</v>
      </c>
      <c r="F58">
        <v>6</v>
      </c>
      <c r="H58">
        <v>0</v>
      </c>
    </row>
    <row r="59" spans="4:8">
      <c r="D59" s="9" t="s">
        <v>130</v>
      </c>
      <c r="E59">
        <v>5.5E-2</v>
      </c>
      <c r="F59">
        <v>1</v>
      </c>
      <c r="G59">
        <v>1</v>
      </c>
      <c r="H59">
        <v>-0.92989999999999995</v>
      </c>
    </row>
    <row r="60" spans="4:8">
      <c r="D60" s="9" t="s">
        <v>130</v>
      </c>
      <c r="E60">
        <v>5.5E-2</v>
      </c>
      <c r="F60">
        <v>2</v>
      </c>
      <c r="G60">
        <v>2</v>
      </c>
      <c r="H60">
        <v>0.77480000000000004</v>
      </c>
    </row>
    <row r="61" spans="4:8">
      <c r="D61" s="9" t="s">
        <v>130</v>
      </c>
      <c r="E61">
        <v>5.5E-2</v>
      </c>
      <c r="F61">
        <v>3</v>
      </c>
      <c r="G61">
        <v>2</v>
      </c>
      <c r="H61">
        <v>0.77480000000000004</v>
      </c>
    </row>
    <row r="62" spans="4:8">
      <c r="D62" s="9" t="s">
        <v>130</v>
      </c>
      <c r="E62">
        <v>5.5E-2</v>
      </c>
      <c r="F62">
        <v>4</v>
      </c>
      <c r="G62">
        <v>3</v>
      </c>
      <c r="H62">
        <v>2.4794999999999998</v>
      </c>
    </row>
    <row r="63" spans="4:8">
      <c r="D63" s="9" t="s">
        <v>131</v>
      </c>
      <c r="E63">
        <v>5.5E-2</v>
      </c>
      <c r="F63">
        <v>1</v>
      </c>
      <c r="G63">
        <v>1</v>
      </c>
      <c r="H63">
        <v>-0.55800000000000005</v>
      </c>
    </row>
    <row r="64" spans="4:8">
      <c r="D64" s="9" t="s">
        <v>131</v>
      </c>
      <c r="E64">
        <v>5.5E-2</v>
      </c>
      <c r="F64">
        <v>2</v>
      </c>
      <c r="G64">
        <v>1</v>
      </c>
      <c r="H64">
        <v>-0.55800000000000005</v>
      </c>
    </row>
    <row r="65" spans="4:8">
      <c r="D65" s="9" t="s">
        <v>131</v>
      </c>
      <c r="E65">
        <v>5.5E-2</v>
      </c>
      <c r="F65">
        <v>3</v>
      </c>
      <c r="G65">
        <v>2</v>
      </c>
      <c r="H65">
        <v>0.63049999999999995</v>
      </c>
    </row>
    <row r="66" spans="4:8">
      <c r="D66" s="9" t="s">
        <v>131</v>
      </c>
      <c r="E66">
        <v>5.5E-2</v>
      </c>
      <c r="F66">
        <v>4</v>
      </c>
      <c r="G66">
        <v>3</v>
      </c>
      <c r="H66">
        <v>1.819</v>
      </c>
    </row>
    <row r="67" spans="4:8">
      <c r="D67" s="9" t="s">
        <v>131</v>
      </c>
      <c r="E67">
        <v>5.5E-2</v>
      </c>
      <c r="F67">
        <v>5</v>
      </c>
      <c r="G67">
        <v>3</v>
      </c>
      <c r="H67">
        <v>1.819</v>
      </c>
    </row>
    <row r="68" spans="4:8">
      <c r="D68" s="9" t="s">
        <v>131</v>
      </c>
      <c r="E68">
        <v>5.5E-2</v>
      </c>
      <c r="F68">
        <v>6</v>
      </c>
      <c r="G68">
        <v>4</v>
      </c>
      <c r="H68">
        <v>3.0074999999999998</v>
      </c>
    </row>
    <row r="69" spans="4:8">
      <c r="D69" s="9" t="s">
        <v>132</v>
      </c>
      <c r="E69">
        <v>4.2000000000000003E-2</v>
      </c>
      <c r="F69">
        <v>1</v>
      </c>
      <c r="G69">
        <v>1</v>
      </c>
      <c r="H69">
        <v>-1.2028000000000001</v>
      </c>
    </row>
    <row r="70" spans="4:8">
      <c r="D70" s="9" t="s">
        <v>132</v>
      </c>
      <c r="E70">
        <v>4.2000000000000003E-2</v>
      </c>
      <c r="F70">
        <v>2</v>
      </c>
      <c r="G70">
        <v>2</v>
      </c>
      <c r="H70">
        <v>0.1948</v>
      </c>
    </row>
    <row r="71" spans="4:8">
      <c r="D71" s="9" t="s">
        <v>132</v>
      </c>
      <c r="E71">
        <v>4.2000000000000003E-2</v>
      </c>
      <c r="F71">
        <v>3</v>
      </c>
      <c r="G71">
        <v>2</v>
      </c>
      <c r="H71">
        <v>0.1948</v>
      </c>
    </row>
    <row r="72" spans="4:8">
      <c r="D72" s="9" t="s">
        <v>132</v>
      </c>
      <c r="E72">
        <v>4.2000000000000003E-2</v>
      </c>
      <c r="F72">
        <v>4</v>
      </c>
      <c r="G72">
        <v>3</v>
      </c>
      <c r="H72">
        <v>1.5925</v>
      </c>
    </row>
    <row r="73" spans="4:8">
      <c r="D73" s="9" t="s">
        <v>132</v>
      </c>
      <c r="E73">
        <v>4.2000000000000003E-2</v>
      </c>
      <c r="F73">
        <v>5</v>
      </c>
      <c r="G73">
        <v>3</v>
      </c>
      <c r="H73">
        <v>1.5925</v>
      </c>
    </row>
    <row r="74" spans="4:8">
      <c r="D74" s="9" t="s">
        <v>132</v>
      </c>
      <c r="E74">
        <v>4.2000000000000003E-2</v>
      </c>
      <c r="F74">
        <v>6</v>
      </c>
      <c r="G74">
        <v>4</v>
      </c>
      <c r="H74">
        <v>2.9901</v>
      </c>
    </row>
    <row r="75" spans="4:8">
      <c r="D75" s="9" t="s">
        <v>133</v>
      </c>
      <c r="E75">
        <v>2.9000000000000001E-2</v>
      </c>
      <c r="F75">
        <v>1</v>
      </c>
      <c r="G75">
        <v>1</v>
      </c>
      <c r="H75">
        <v>-0.60409999999999997</v>
      </c>
    </row>
    <row r="76" spans="4:8">
      <c r="D76" s="9" t="s">
        <v>133</v>
      </c>
      <c r="E76">
        <v>2.9000000000000001E-2</v>
      </c>
      <c r="F76">
        <v>2</v>
      </c>
      <c r="G76">
        <v>2</v>
      </c>
      <c r="H76">
        <v>1.5276000000000001</v>
      </c>
    </row>
    <row r="77" spans="4:8">
      <c r="D77" s="9" t="s">
        <v>133</v>
      </c>
      <c r="E77">
        <v>2.9000000000000001E-2</v>
      </c>
      <c r="F77">
        <v>3</v>
      </c>
      <c r="G77">
        <v>3</v>
      </c>
      <c r="H77">
        <v>3.6593</v>
      </c>
    </row>
    <row r="78" spans="4:8">
      <c r="D78" s="9" t="s">
        <v>122</v>
      </c>
      <c r="E78">
        <v>0.03</v>
      </c>
      <c r="F78">
        <v>1</v>
      </c>
      <c r="G78">
        <v>1</v>
      </c>
      <c r="H78">
        <v>-0.31369999999999998</v>
      </c>
    </row>
    <row r="79" spans="4:8">
      <c r="D79" s="9" t="s">
        <v>122</v>
      </c>
      <c r="E79">
        <v>0.03</v>
      </c>
      <c r="F79">
        <v>2</v>
      </c>
      <c r="G79">
        <v>1</v>
      </c>
      <c r="H79">
        <v>-0.31369999999999998</v>
      </c>
    </row>
    <row r="80" spans="4:8">
      <c r="D80" s="9" t="s">
        <v>122</v>
      </c>
      <c r="E80">
        <v>0.03</v>
      </c>
      <c r="F80">
        <v>3</v>
      </c>
      <c r="G80">
        <v>2</v>
      </c>
      <c r="H80">
        <v>2.5966</v>
      </c>
    </row>
    <row r="81" spans="4:14">
      <c r="D81" s="9" t="s">
        <v>122</v>
      </c>
      <c r="E81">
        <v>0.03</v>
      </c>
      <c r="F81">
        <v>4</v>
      </c>
      <c r="G81">
        <v>2</v>
      </c>
      <c r="H81">
        <v>2.5966</v>
      </c>
      <c r="J81">
        <v>2.5966</v>
      </c>
    </row>
    <row r="82" spans="4:14">
      <c r="D82" s="9" t="s">
        <v>122</v>
      </c>
      <c r="E82">
        <v>0.03</v>
      </c>
      <c r="F82">
        <v>5</v>
      </c>
      <c r="G82">
        <v>3</v>
      </c>
      <c r="H82">
        <v>5.5069999999999997</v>
      </c>
      <c r="J82">
        <v>2.5966</v>
      </c>
    </row>
    <row r="83" spans="4:14">
      <c r="D83" s="9" t="s">
        <v>123</v>
      </c>
      <c r="E83">
        <v>2.1999999999999999E-2</v>
      </c>
      <c r="F83">
        <v>1</v>
      </c>
      <c r="G83">
        <v>1</v>
      </c>
      <c r="H83">
        <v>-0.29809999999999998</v>
      </c>
    </row>
    <row r="84" spans="4:14">
      <c r="D84" s="9" t="s">
        <v>123</v>
      </c>
      <c r="E84">
        <v>2.1999999999999999E-2</v>
      </c>
      <c r="F84">
        <v>2</v>
      </c>
      <c r="G84">
        <v>2</v>
      </c>
      <c r="H84">
        <v>3.1242000000000001</v>
      </c>
    </row>
    <row r="85" spans="4:14">
      <c r="D85" s="9" t="s">
        <v>123</v>
      </c>
      <c r="E85">
        <v>2.1999999999999999E-2</v>
      </c>
      <c r="F85">
        <v>3</v>
      </c>
      <c r="G85">
        <v>2</v>
      </c>
      <c r="H85">
        <v>3.1242000000000001</v>
      </c>
    </row>
    <row r="86" spans="4:14">
      <c r="D86" s="9" t="s">
        <v>123</v>
      </c>
      <c r="E86">
        <v>2.1999999999999999E-2</v>
      </c>
      <c r="F86">
        <v>4</v>
      </c>
      <c r="G86">
        <v>3</v>
      </c>
      <c r="H86">
        <v>6.5465</v>
      </c>
    </row>
    <row r="87" spans="4:14">
      <c r="D87" s="9" t="s">
        <v>124</v>
      </c>
      <c r="E87">
        <v>3.3000000000000002E-2</v>
      </c>
      <c r="F87">
        <v>1</v>
      </c>
      <c r="G87">
        <v>1</v>
      </c>
      <c r="H87">
        <v>2.4138999999999999</v>
      </c>
    </row>
    <row r="88" spans="4:14">
      <c r="D88" s="9" t="s">
        <v>124</v>
      </c>
      <c r="E88">
        <v>3.3000000000000002E-2</v>
      </c>
      <c r="F88">
        <v>2</v>
      </c>
      <c r="G88">
        <v>2</v>
      </c>
      <c r="H88">
        <v>0.44030000000000002</v>
      </c>
    </row>
    <row r="89" spans="4:14">
      <c r="D89" s="9" t="s">
        <v>124</v>
      </c>
      <c r="E89">
        <v>3.3000000000000002E-2</v>
      </c>
      <c r="F89">
        <v>3</v>
      </c>
      <c r="G89">
        <v>2</v>
      </c>
      <c r="H89">
        <v>0.44030000000000002</v>
      </c>
    </row>
    <row r="90" spans="4:14">
      <c r="D90" s="9" t="s">
        <v>124</v>
      </c>
      <c r="E90">
        <v>3.3000000000000002E-2</v>
      </c>
      <c r="F90">
        <v>4</v>
      </c>
      <c r="G90">
        <v>3</v>
      </c>
      <c r="H90">
        <v>0.44030000000000002</v>
      </c>
    </row>
    <row r="91" spans="4:14">
      <c r="D91" s="9" t="s">
        <v>124</v>
      </c>
      <c r="E91">
        <v>3.3000000000000002E-2</v>
      </c>
      <c r="F91">
        <v>5</v>
      </c>
      <c r="G91">
        <v>3</v>
      </c>
      <c r="H91">
        <v>0.44030000000000002</v>
      </c>
    </row>
    <row r="92" spans="4:14">
      <c r="D92" s="9" t="s">
        <v>124</v>
      </c>
      <c r="E92">
        <v>3.3000000000000002E-2</v>
      </c>
      <c r="F92">
        <v>6</v>
      </c>
      <c r="G92">
        <v>2</v>
      </c>
      <c r="H92">
        <v>-1.5333000000000001</v>
      </c>
    </row>
    <row r="93" spans="4:14">
      <c r="D93" s="9" t="s">
        <v>134</v>
      </c>
      <c r="E93">
        <v>3.4000000000000002E-2</v>
      </c>
      <c r="F93">
        <v>1</v>
      </c>
      <c r="G93">
        <v>2</v>
      </c>
      <c r="H93">
        <v>0.30149999999999999</v>
      </c>
    </row>
    <row r="94" spans="4:14">
      <c r="D94" s="9" t="s">
        <v>134</v>
      </c>
      <c r="E94">
        <v>3.4000000000000002E-2</v>
      </c>
      <c r="F94">
        <v>2</v>
      </c>
      <c r="G94">
        <v>2</v>
      </c>
      <c r="H94">
        <v>2.7810999999999999</v>
      </c>
    </row>
    <row r="95" spans="4:14">
      <c r="D95" s="9" t="s">
        <v>134</v>
      </c>
      <c r="E95">
        <v>3.4000000000000002E-2</v>
      </c>
      <c r="F95">
        <v>3</v>
      </c>
      <c r="G95">
        <v>2</v>
      </c>
      <c r="H95">
        <v>5.8636999999999997</v>
      </c>
      <c r="N95" s="2" t="s">
        <v>110</v>
      </c>
    </row>
    <row r="96" spans="4:14">
      <c r="D96" s="9" t="s">
        <v>134</v>
      </c>
      <c r="E96">
        <v>3.4000000000000002E-2</v>
      </c>
      <c r="F96">
        <v>4</v>
      </c>
      <c r="G96">
        <v>1</v>
      </c>
      <c r="H96">
        <v>5.8636999999999997</v>
      </c>
      <c r="N96" t="s">
        <v>111</v>
      </c>
    </row>
    <row r="97" spans="4:17">
      <c r="D97" s="9" t="s">
        <v>125</v>
      </c>
      <c r="E97">
        <v>5.8999999999999997E-2</v>
      </c>
      <c r="F97">
        <v>1</v>
      </c>
      <c r="G97">
        <v>1</v>
      </c>
      <c r="H97">
        <v>-0.43759999999999999</v>
      </c>
      <c r="N97" t="s">
        <v>111</v>
      </c>
    </row>
    <row r="98" spans="4:17">
      <c r="D98" s="9" t="s">
        <v>125</v>
      </c>
      <c r="E98">
        <v>5.8999999999999997E-2</v>
      </c>
      <c r="F98">
        <v>2</v>
      </c>
      <c r="G98">
        <v>2</v>
      </c>
      <c r="H98">
        <v>21795</v>
      </c>
      <c r="N98" t="s">
        <v>111</v>
      </c>
      <c r="Q98" s="2" t="s">
        <v>110</v>
      </c>
    </row>
    <row r="99" spans="4:17">
      <c r="D99" s="9" t="s">
        <v>125</v>
      </c>
      <c r="E99">
        <v>5.8999999999999997E-2</v>
      </c>
      <c r="F99">
        <v>3</v>
      </c>
      <c r="G99">
        <v>3</v>
      </c>
      <c r="H99">
        <v>2.1795</v>
      </c>
      <c r="N99" t="s">
        <v>111</v>
      </c>
      <c r="Q99" t="s">
        <v>111</v>
      </c>
    </row>
    <row r="100" spans="4:17">
      <c r="D100" s="9" t="s">
        <v>125</v>
      </c>
      <c r="E100">
        <v>5.8999999999999997E-2</v>
      </c>
      <c r="F100">
        <v>4</v>
      </c>
      <c r="G100">
        <v>3</v>
      </c>
      <c r="H100">
        <v>2.1795</v>
      </c>
      <c r="N100" t="s">
        <v>112</v>
      </c>
      <c r="Q100" t="s">
        <v>112</v>
      </c>
    </row>
    <row r="101" spans="4:17">
      <c r="D101" s="9" t="s">
        <v>125</v>
      </c>
      <c r="E101">
        <v>5.8999999999999997E-2</v>
      </c>
      <c r="F101">
        <v>5</v>
      </c>
      <c r="G101">
        <v>1</v>
      </c>
      <c r="H101">
        <v>4.7967000000000004</v>
      </c>
      <c r="N101" t="s">
        <v>112</v>
      </c>
      <c r="Q101" t="s">
        <v>113</v>
      </c>
    </row>
    <row r="102" spans="4:17">
      <c r="D102" s="9" t="s">
        <v>126</v>
      </c>
      <c r="E102">
        <v>3.6999999999999998E-2</v>
      </c>
      <c r="F102">
        <v>1</v>
      </c>
      <c r="G102">
        <v>2</v>
      </c>
      <c r="H102">
        <v>-0.53390000000000004</v>
      </c>
      <c r="N102" t="s">
        <v>112</v>
      </c>
      <c r="Q102" t="s">
        <v>115</v>
      </c>
    </row>
    <row r="103" spans="4:17">
      <c r="D103" s="9" t="s">
        <v>126</v>
      </c>
      <c r="E103">
        <v>3.6999999999999998E-2</v>
      </c>
      <c r="F103">
        <v>2</v>
      </c>
      <c r="G103">
        <v>2</v>
      </c>
      <c r="H103">
        <v>1.3526</v>
      </c>
      <c r="N103" t="s">
        <v>112</v>
      </c>
      <c r="Q103" t="s">
        <v>117</v>
      </c>
    </row>
    <row r="104" spans="4:17">
      <c r="D104" s="9" t="s">
        <v>126</v>
      </c>
      <c r="E104">
        <v>3.6999999999999998E-2</v>
      </c>
      <c r="F104">
        <v>3</v>
      </c>
      <c r="G104">
        <v>2</v>
      </c>
      <c r="H104">
        <v>3.2389999999999999</v>
      </c>
      <c r="N104" t="s">
        <v>112</v>
      </c>
      <c r="Q104" t="s">
        <v>116</v>
      </c>
    </row>
    <row r="105" spans="4:17">
      <c r="D105" s="9" t="s">
        <v>126</v>
      </c>
      <c r="E105">
        <v>3.6999999999999998E-2</v>
      </c>
      <c r="F105">
        <v>4</v>
      </c>
      <c r="G105">
        <v>3</v>
      </c>
      <c r="H105">
        <v>3.2389999999999999</v>
      </c>
      <c r="N105" t="s">
        <v>113</v>
      </c>
      <c r="Q105" t="s">
        <v>118</v>
      </c>
    </row>
    <row r="106" spans="4:17">
      <c r="D106" s="9" t="s">
        <v>126</v>
      </c>
      <c r="E106">
        <v>3.6999999999999998E-2</v>
      </c>
      <c r="F106">
        <v>5</v>
      </c>
      <c r="G106">
        <v>1</v>
      </c>
      <c r="H106">
        <v>0</v>
      </c>
      <c r="N106" t="s">
        <v>113</v>
      </c>
      <c r="Q106" t="s">
        <v>119</v>
      </c>
    </row>
    <row r="107" spans="4:17">
      <c r="D107" s="9" t="s">
        <v>135</v>
      </c>
      <c r="E107">
        <v>4.7E-2</v>
      </c>
      <c r="F107">
        <v>1</v>
      </c>
      <c r="G107">
        <v>2</v>
      </c>
      <c r="H107">
        <v>-0.86280000000000001</v>
      </c>
      <c r="N107" t="s">
        <v>113</v>
      </c>
      <c r="Q107" s="9" t="s">
        <v>127</v>
      </c>
    </row>
    <row r="108" spans="4:17">
      <c r="D108" s="9" t="s">
        <v>135</v>
      </c>
      <c r="E108">
        <v>4.7E-2</v>
      </c>
      <c r="F108">
        <v>2</v>
      </c>
      <c r="G108">
        <v>3</v>
      </c>
      <c r="H108">
        <v>-0.86280000000000001</v>
      </c>
      <c r="N108" t="s">
        <v>113</v>
      </c>
      <c r="Q108" s="9" t="s">
        <v>128</v>
      </c>
    </row>
    <row r="109" spans="4:17">
      <c r="D109" s="9" t="s">
        <v>135</v>
      </c>
      <c r="E109">
        <v>4.7E-2</v>
      </c>
      <c r="F109">
        <v>3</v>
      </c>
      <c r="G109">
        <v>3</v>
      </c>
      <c r="H109">
        <v>1.155</v>
      </c>
      <c r="N109" t="s">
        <v>113</v>
      </c>
      <c r="Q109" s="9" t="s">
        <v>129</v>
      </c>
    </row>
    <row r="110" spans="4:17">
      <c r="D110" s="9" t="s">
        <v>135</v>
      </c>
      <c r="E110">
        <v>4.7E-2</v>
      </c>
      <c r="F110">
        <v>4</v>
      </c>
      <c r="G110">
        <v>1</v>
      </c>
      <c r="H110">
        <v>1.155</v>
      </c>
      <c r="N110" t="s">
        <v>113</v>
      </c>
      <c r="Q110" s="9" t="s">
        <v>130</v>
      </c>
    </row>
    <row r="111" spans="4:17">
      <c r="D111" s="9" t="s">
        <v>136</v>
      </c>
      <c r="E111">
        <v>7.4999999999999997E-2</v>
      </c>
      <c r="F111">
        <v>1</v>
      </c>
      <c r="G111">
        <v>1</v>
      </c>
      <c r="H111">
        <v>-1.341</v>
      </c>
      <c r="N111" t="s">
        <v>115</v>
      </c>
      <c r="Q111" s="9" t="s">
        <v>131</v>
      </c>
    </row>
    <row r="112" spans="4:17">
      <c r="D112" s="9" t="s">
        <v>136</v>
      </c>
      <c r="E112">
        <v>7.4999999999999997E-2</v>
      </c>
      <c r="F112">
        <v>2</v>
      </c>
      <c r="G112">
        <v>2</v>
      </c>
      <c r="H112">
        <v>0.21199999999999999</v>
      </c>
      <c r="N112" t="s">
        <v>115</v>
      </c>
      <c r="Q112" s="9" t="s">
        <v>132</v>
      </c>
    </row>
    <row r="113" spans="4:17">
      <c r="D113" s="9" t="s">
        <v>136</v>
      </c>
      <c r="E113">
        <v>7.4999999999999997E-2</v>
      </c>
      <c r="F113">
        <v>3</v>
      </c>
      <c r="G113">
        <v>2</v>
      </c>
      <c r="H113">
        <v>0.21199999999999999</v>
      </c>
      <c r="N113" t="s">
        <v>115</v>
      </c>
      <c r="Q113" s="9" t="s">
        <v>133</v>
      </c>
    </row>
    <row r="114" spans="4:17">
      <c r="D114" s="9" t="s">
        <v>136</v>
      </c>
      <c r="E114">
        <v>7.4999999999999997E-2</v>
      </c>
      <c r="F114">
        <v>4</v>
      </c>
      <c r="G114">
        <v>1</v>
      </c>
      <c r="H114">
        <v>1.7649999999999999</v>
      </c>
      <c r="N114" t="s">
        <v>115</v>
      </c>
      <c r="Q114" s="9" t="s">
        <v>122</v>
      </c>
    </row>
    <row r="115" spans="4:17">
      <c r="D115" s="9" t="s">
        <v>136</v>
      </c>
      <c r="E115">
        <v>7.4999999999999997E-2</v>
      </c>
      <c r="F115">
        <v>5</v>
      </c>
      <c r="G115">
        <v>2</v>
      </c>
      <c r="H115">
        <v>3.3180999999999998</v>
      </c>
      <c r="N115" t="s">
        <v>115</v>
      </c>
      <c r="Q115" s="9" t="s">
        <v>123</v>
      </c>
    </row>
    <row r="116" spans="4:17">
      <c r="N116" t="s">
        <v>117</v>
      </c>
      <c r="Q116" s="9" t="s">
        <v>124</v>
      </c>
    </row>
    <row r="117" spans="4:17">
      <c r="N117" t="s">
        <v>117</v>
      </c>
      <c r="Q117" s="9" t="s">
        <v>134</v>
      </c>
    </row>
    <row r="118" spans="4:17">
      <c r="N118" t="s">
        <v>117</v>
      </c>
      <c r="Q118" s="9" t="s">
        <v>125</v>
      </c>
    </row>
    <row r="119" spans="4:17">
      <c r="N119" t="s">
        <v>117</v>
      </c>
      <c r="Q119" s="9" t="s">
        <v>126</v>
      </c>
    </row>
    <row r="120" spans="4:17">
      <c r="N120" t="s">
        <v>117</v>
      </c>
      <c r="Q120" s="9" t="s">
        <v>135</v>
      </c>
    </row>
    <row r="121" spans="4:17">
      <c r="N121" t="s">
        <v>116</v>
      </c>
      <c r="Q121" s="9" t="s">
        <v>136</v>
      </c>
    </row>
    <row r="122" spans="4:17">
      <c r="N122" t="s">
        <v>116</v>
      </c>
    </row>
    <row r="123" spans="4:17">
      <c r="N123" t="s">
        <v>116</v>
      </c>
    </row>
    <row r="124" spans="4:17">
      <c r="N124" t="s">
        <v>116</v>
      </c>
    </row>
    <row r="125" spans="4:17">
      <c r="N125" t="s">
        <v>118</v>
      </c>
    </row>
    <row r="126" spans="4:17">
      <c r="N126" t="s">
        <v>118</v>
      </c>
    </row>
    <row r="127" spans="4:17">
      <c r="N127" t="s">
        <v>118</v>
      </c>
    </row>
    <row r="128" spans="4:17">
      <c r="N128" t="s">
        <v>118</v>
      </c>
    </row>
    <row r="129" spans="14:14">
      <c r="N129" t="s">
        <v>118</v>
      </c>
    </row>
    <row r="130" spans="14:14">
      <c r="N130" t="s">
        <v>118</v>
      </c>
    </row>
    <row r="131" spans="14:14">
      <c r="N131" t="s">
        <v>119</v>
      </c>
    </row>
    <row r="132" spans="14:14">
      <c r="N132" t="s">
        <v>119</v>
      </c>
    </row>
    <row r="133" spans="14:14">
      <c r="N133" s="9" t="s">
        <v>119</v>
      </c>
    </row>
    <row r="134" spans="14:14">
      <c r="N134" s="9" t="s">
        <v>119</v>
      </c>
    </row>
    <row r="135" spans="14:14">
      <c r="N135" s="9" t="s">
        <v>119</v>
      </c>
    </row>
    <row r="136" spans="14:14">
      <c r="N136" s="9" t="s">
        <v>119</v>
      </c>
    </row>
    <row r="137" spans="14:14">
      <c r="N137" s="9" t="s">
        <v>119</v>
      </c>
    </row>
    <row r="138" spans="14:14">
      <c r="N138" s="9" t="s">
        <v>119</v>
      </c>
    </row>
    <row r="139" spans="14:14">
      <c r="N139" s="9" t="s">
        <v>119</v>
      </c>
    </row>
    <row r="140" spans="14:14">
      <c r="N140" s="9" t="s">
        <v>119</v>
      </c>
    </row>
    <row r="141" spans="14:14">
      <c r="N141" s="9" t="s">
        <v>119</v>
      </c>
    </row>
    <row r="142" spans="14:14">
      <c r="N142" s="9" t="s">
        <v>127</v>
      </c>
    </row>
    <row r="143" spans="14:14">
      <c r="N143" s="9" t="s">
        <v>128</v>
      </c>
    </row>
    <row r="144" spans="14:14">
      <c r="N144" s="9" t="s">
        <v>128</v>
      </c>
    </row>
    <row r="145" spans="14:14">
      <c r="N145" s="9" t="s">
        <v>128</v>
      </c>
    </row>
    <row r="146" spans="14:14">
      <c r="N146" s="9" t="s">
        <v>128</v>
      </c>
    </row>
    <row r="147" spans="14:14">
      <c r="N147" s="9" t="s">
        <v>129</v>
      </c>
    </row>
    <row r="148" spans="14:14">
      <c r="N148" s="9" t="s">
        <v>129</v>
      </c>
    </row>
    <row r="149" spans="14:14">
      <c r="N149" s="9" t="s">
        <v>129</v>
      </c>
    </row>
    <row r="150" spans="14:14">
      <c r="N150" s="9" t="s">
        <v>129</v>
      </c>
    </row>
    <row r="151" spans="14:14">
      <c r="N151" s="9" t="s">
        <v>129</v>
      </c>
    </row>
    <row r="152" spans="14:14">
      <c r="N152" s="9" t="s">
        <v>129</v>
      </c>
    </row>
    <row r="153" spans="14:14">
      <c r="N153" s="9" t="s">
        <v>130</v>
      </c>
    </row>
    <row r="154" spans="14:14">
      <c r="N154" s="9" t="s">
        <v>130</v>
      </c>
    </row>
    <row r="155" spans="14:14">
      <c r="N155" s="9" t="s">
        <v>130</v>
      </c>
    </row>
    <row r="156" spans="14:14">
      <c r="N156" s="9" t="s">
        <v>130</v>
      </c>
    </row>
    <row r="157" spans="14:14">
      <c r="N157" s="9" t="s">
        <v>131</v>
      </c>
    </row>
    <row r="158" spans="14:14">
      <c r="N158" s="9" t="s">
        <v>131</v>
      </c>
    </row>
    <row r="159" spans="14:14">
      <c r="N159" s="9" t="s">
        <v>131</v>
      </c>
    </row>
    <row r="160" spans="14:14">
      <c r="N160" s="9" t="s">
        <v>131</v>
      </c>
    </row>
    <row r="161" spans="14:14">
      <c r="N161" s="9" t="s">
        <v>131</v>
      </c>
    </row>
    <row r="162" spans="14:14">
      <c r="N162" s="9" t="s">
        <v>131</v>
      </c>
    </row>
    <row r="163" spans="14:14">
      <c r="N163" s="9" t="s">
        <v>132</v>
      </c>
    </row>
    <row r="164" spans="14:14">
      <c r="N164" s="9" t="s">
        <v>132</v>
      </c>
    </row>
    <row r="165" spans="14:14">
      <c r="N165" s="9" t="s">
        <v>132</v>
      </c>
    </row>
    <row r="166" spans="14:14">
      <c r="N166" s="9" t="s">
        <v>132</v>
      </c>
    </row>
    <row r="167" spans="14:14">
      <c r="N167" s="9" t="s">
        <v>132</v>
      </c>
    </row>
    <row r="168" spans="14:14">
      <c r="N168" s="9" t="s">
        <v>132</v>
      </c>
    </row>
    <row r="169" spans="14:14">
      <c r="N169" s="9" t="s">
        <v>133</v>
      </c>
    </row>
    <row r="170" spans="14:14">
      <c r="N170" s="9" t="s">
        <v>133</v>
      </c>
    </row>
    <row r="171" spans="14:14">
      <c r="N171" s="9" t="s">
        <v>133</v>
      </c>
    </row>
    <row r="172" spans="14:14">
      <c r="N172" s="9" t="s">
        <v>122</v>
      </c>
    </row>
    <row r="173" spans="14:14">
      <c r="N173" s="9" t="s">
        <v>122</v>
      </c>
    </row>
    <row r="174" spans="14:14">
      <c r="N174" s="9" t="s">
        <v>122</v>
      </c>
    </row>
    <row r="175" spans="14:14">
      <c r="N175" s="9" t="s">
        <v>122</v>
      </c>
    </row>
    <row r="176" spans="14:14">
      <c r="N176" s="9" t="s">
        <v>122</v>
      </c>
    </row>
    <row r="177" spans="14:14">
      <c r="N177" s="9" t="s">
        <v>123</v>
      </c>
    </row>
    <row r="178" spans="14:14">
      <c r="N178" s="9" t="s">
        <v>123</v>
      </c>
    </row>
    <row r="179" spans="14:14">
      <c r="N179" s="9" t="s">
        <v>123</v>
      </c>
    </row>
    <row r="180" spans="14:14">
      <c r="N180" s="9" t="s">
        <v>123</v>
      </c>
    </row>
    <row r="181" spans="14:14">
      <c r="N181" s="9" t="s">
        <v>124</v>
      </c>
    </row>
    <row r="182" spans="14:14">
      <c r="N182" s="9" t="s">
        <v>124</v>
      </c>
    </row>
    <row r="183" spans="14:14">
      <c r="N183" s="9" t="s">
        <v>124</v>
      </c>
    </row>
    <row r="184" spans="14:14">
      <c r="N184" s="9" t="s">
        <v>124</v>
      </c>
    </row>
    <row r="185" spans="14:14">
      <c r="N185" s="9" t="s">
        <v>124</v>
      </c>
    </row>
    <row r="186" spans="14:14">
      <c r="N186" s="9" t="s">
        <v>124</v>
      </c>
    </row>
    <row r="187" spans="14:14">
      <c r="N187" s="9" t="s">
        <v>134</v>
      </c>
    </row>
    <row r="188" spans="14:14">
      <c r="N188" s="9" t="s">
        <v>134</v>
      </c>
    </row>
    <row r="189" spans="14:14">
      <c r="N189" s="9" t="s">
        <v>134</v>
      </c>
    </row>
    <row r="190" spans="14:14">
      <c r="N190" s="9" t="s">
        <v>134</v>
      </c>
    </row>
    <row r="191" spans="14:14">
      <c r="N191" s="9" t="s">
        <v>125</v>
      </c>
    </row>
    <row r="192" spans="14:14">
      <c r="N192" s="9" t="s">
        <v>125</v>
      </c>
    </row>
    <row r="193" spans="14:14">
      <c r="N193" s="9" t="s">
        <v>125</v>
      </c>
    </row>
    <row r="194" spans="14:14">
      <c r="N194" s="9" t="s">
        <v>125</v>
      </c>
    </row>
    <row r="195" spans="14:14">
      <c r="N195" s="9" t="s">
        <v>125</v>
      </c>
    </row>
    <row r="196" spans="14:14">
      <c r="N196" s="9" t="s">
        <v>126</v>
      </c>
    </row>
    <row r="197" spans="14:14">
      <c r="N197" s="9" t="s">
        <v>126</v>
      </c>
    </row>
    <row r="198" spans="14:14">
      <c r="N198" s="9" t="s">
        <v>126</v>
      </c>
    </row>
    <row r="199" spans="14:14">
      <c r="N199" s="9" t="s">
        <v>126</v>
      </c>
    </row>
    <row r="200" spans="14:14">
      <c r="N200" s="9" t="s">
        <v>126</v>
      </c>
    </row>
    <row r="201" spans="14:14">
      <c r="N201" s="9" t="s">
        <v>135</v>
      </c>
    </row>
    <row r="202" spans="14:14">
      <c r="N202" s="9" t="s">
        <v>135</v>
      </c>
    </row>
    <row r="203" spans="14:14">
      <c r="N203" s="9" t="s">
        <v>135</v>
      </c>
    </row>
    <row r="204" spans="14:14">
      <c r="N204" s="9" t="s">
        <v>135</v>
      </c>
    </row>
    <row r="205" spans="14:14">
      <c r="N205" s="9" t="s">
        <v>136</v>
      </c>
    </row>
    <row r="206" spans="14:14">
      <c r="N206" s="9" t="s">
        <v>136</v>
      </c>
    </row>
    <row r="207" spans="14:14">
      <c r="N207" s="9" t="s">
        <v>136</v>
      </c>
    </row>
    <row r="208" spans="14:14">
      <c r="N208" s="9" t="s">
        <v>136</v>
      </c>
    </row>
    <row r="209" spans="14:14">
      <c r="N209" s="9" t="s">
        <v>136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8C7B-AA6C-43C7-AD0D-2F2B2AFE21A7}">
  <dimension ref="A1:S34"/>
  <sheetViews>
    <sheetView topLeftCell="A9" workbookViewId="0">
      <selection activeCell="P14" sqref="P14:P19"/>
    </sheetView>
  </sheetViews>
  <sheetFormatPr defaultRowHeight="13.5"/>
  <sheetData>
    <row r="1" spans="1:19" ht="13.9">
      <c r="A1" s="2" t="s">
        <v>59</v>
      </c>
      <c r="B1" s="2" t="s">
        <v>60</v>
      </c>
      <c r="C1" s="2" t="s">
        <v>61</v>
      </c>
      <c r="D1" s="2" t="s">
        <v>110</v>
      </c>
      <c r="E1" s="3" t="s">
        <v>1</v>
      </c>
      <c r="F1" s="3" t="s">
        <v>120</v>
      </c>
      <c r="G1" s="3" t="s">
        <v>121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19">
      <c r="D2" t="s">
        <v>137</v>
      </c>
      <c r="E2">
        <v>0.17194175</v>
      </c>
      <c r="F2">
        <v>1</v>
      </c>
      <c r="G2">
        <v>2</v>
      </c>
      <c r="H2">
        <v>-0.19239999999999999</v>
      </c>
    </row>
    <row r="3" spans="1:19">
      <c r="D3" t="s">
        <v>137</v>
      </c>
      <c r="E3">
        <v>0.17194175</v>
      </c>
      <c r="F3">
        <v>2</v>
      </c>
      <c r="G3">
        <v>3</v>
      </c>
      <c r="H3">
        <v>2.2778999999999998</v>
      </c>
    </row>
    <row r="4" spans="1:19">
      <c r="D4" t="s">
        <v>137</v>
      </c>
      <c r="E4">
        <v>0.17194175</v>
      </c>
      <c r="F4">
        <v>3</v>
      </c>
      <c r="G4">
        <v>3</v>
      </c>
      <c r="H4">
        <v>2.2778999999999998</v>
      </c>
    </row>
    <row r="5" spans="1:19">
      <c r="D5" t="s">
        <v>137</v>
      </c>
      <c r="E5">
        <v>0.17194175</v>
      </c>
      <c r="F5">
        <v>4</v>
      </c>
      <c r="G5">
        <v>1</v>
      </c>
      <c r="H5">
        <v>-2.6627999999999998</v>
      </c>
    </row>
    <row r="6" spans="1:19">
      <c r="D6" t="s">
        <v>138</v>
      </c>
      <c r="E6">
        <v>8.6731520000000006E-2</v>
      </c>
      <c r="F6">
        <v>1</v>
      </c>
      <c r="G6">
        <v>1</v>
      </c>
      <c r="H6">
        <v>-0.69</v>
      </c>
    </row>
    <row r="7" spans="1:19">
      <c r="D7" t="s">
        <v>138</v>
      </c>
      <c r="E7">
        <v>8.6731520000000006E-2</v>
      </c>
      <c r="F7">
        <v>2</v>
      </c>
      <c r="G7">
        <v>2</v>
      </c>
      <c r="H7">
        <v>1.45</v>
      </c>
    </row>
    <row r="8" spans="1:19">
      <c r="D8" t="s">
        <v>138</v>
      </c>
      <c r="E8">
        <v>8.6731520000000006E-2</v>
      </c>
      <c r="F8">
        <v>3</v>
      </c>
      <c r="G8">
        <v>1</v>
      </c>
      <c r="H8">
        <v>-0.69</v>
      </c>
    </row>
    <row r="9" spans="1:19">
      <c r="D9" t="s">
        <v>139</v>
      </c>
      <c r="E9">
        <v>0.20029329000000001</v>
      </c>
      <c r="F9">
        <v>1</v>
      </c>
      <c r="G9">
        <v>2</v>
      </c>
      <c r="H9">
        <v>0.52</v>
      </c>
    </row>
    <row r="10" spans="1:19">
      <c r="D10" t="s">
        <v>139</v>
      </c>
      <c r="E10">
        <v>0.20029329000000001</v>
      </c>
      <c r="F10">
        <v>2</v>
      </c>
      <c r="G10">
        <v>1</v>
      </c>
      <c r="H10">
        <v>-1.89</v>
      </c>
      <c r="N10" s="2" t="s">
        <v>110</v>
      </c>
    </row>
    <row r="11" spans="1:19">
      <c r="D11" t="s">
        <v>139</v>
      </c>
      <c r="E11">
        <v>0.20029329000000001</v>
      </c>
      <c r="F11">
        <v>3</v>
      </c>
      <c r="G11">
        <v>2</v>
      </c>
      <c r="H11">
        <v>0.52</v>
      </c>
      <c r="N11" t="s">
        <v>137</v>
      </c>
    </row>
    <row r="12" spans="1:19">
      <c r="D12" t="s">
        <v>140</v>
      </c>
      <c r="E12">
        <v>0.19088611</v>
      </c>
      <c r="F12">
        <v>1</v>
      </c>
      <c r="G12">
        <v>1</v>
      </c>
      <c r="H12">
        <v>-0.56999999999999995</v>
      </c>
      <c r="N12" t="s">
        <v>137</v>
      </c>
    </row>
    <row r="13" spans="1:19">
      <c r="D13" t="s">
        <v>140</v>
      </c>
      <c r="E13">
        <v>0.19088611</v>
      </c>
      <c r="F13">
        <v>2</v>
      </c>
      <c r="G13">
        <v>1</v>
      </c>
      <c r="H13">
        <v>-0.56999999999999995</v>
      </c>
      <c r="N13" t="s">
        <v>137</v>
      </c>
      <c r="P13" s="2" t="s">
        <v>110</v>
      </c>
    </row>
    <row r="14" spans="1:19">
      <c r="D14" t="s">
        <v>140</v>
      </c>
      <c r="E14">
        <v>0.19088611</v>
      </c>
      <c r="F14">
        <v>3</v>
      </c>
      <c r="G14">
        <v>2</v>
      </c>
      <c r="H14">
        <v>1.43</v>
      </c>
      <c r="N14" t="s">
        <v>137</v>
      </c>
      <c r="P14" t="s">
        <v>137</v>
      </c>
    </row>
    <row r="15" spans="1:19">
      <c r="D15" t="s">
        <v>140</v>
      </c>
      <c r="E15">
        <v>0.19088611</v>
      </c>
      <c r="F15">
        <v>4</v>
      </c>
      <c r="G15">
        <v>3</v>
      </c>
      <c r="H15">
        <v>3.43</v>
      </c>
      <c r="N15" t="s">
        <v>138</v>
      </c>
      <c r="P15" t="s">
        <v>138</v>
      </c>
    </row>
    <row r="16" spans="1:19">
      <c r="D16" t="s">
        <v>141</v>
      </c>
      <c r="E16">
        <v>0.18943313000000001</v>
      </c>
      <c r="F16">
        <v>1</v>
      </c>
      <c r="G16">
        <v>1</v>
      </c>
      <c r="H16">
        <v>-1.63</v>
      </c>
      <c r="N16" t="s">
        <v>138</v>
      </c>
      <c r="P16" t="s">
        <v>139</v>
      </c>
    </row>
    <row r="17" spans="4:16">
      <c r="D17" t="s">
        <v>141</v>
      </c>
      <c r="E17">
        <v>0.18943313000000001</v>
      </c>
      <c r="F17">
        <v>2</v>
      </c>
      <c r="G17">
        <v>2</v>
      </c>
      <c r="H17">
        <v>-0.72</v>
      </c>
      <c r="N17" t="s">
        <v>138</v>
      </c>
      <c r="P17" t="s">
        <v>140</v>
      </c>
    </row>
    <row r="18" spans="4:16">
      <c r="D18" t="s">
        <v>141</v>
      </c>
      <c r="E18">
        <v>0.18943313000000001</v>
      </c>
      <c r="F18">
        <v>3</v>
      </c>
      <c r="G18">
        <v>3</v>
      </c>
      <c r="H18">
        <v>0.18</v>
      </c>
      <c r="N18" t="s">
        <v>139</v>
      </c>
      <c r="P18" t="s">
        <v>141</v>
      </c>
    </row>
    <row r="19" spans="4:16">
      <c r="D19" t="s">
        <v>141</v>
      </c>
      <c r="E19">
        <v>0.18943313000000001</v>
      </c>
      <c r="F19">
        <v>4</v>
      </c>
      <c r="G19">
        <v>3</v>
      </c>
      <c r="H19">
        <v>0.18</v>
      </c>
      <c r="N19" t="s">
        <v>139</v>
      </c>
      <c r="P19" t="s">
        <v>142</v>
      </c>
    </row>
    <row r="20" spans="4:16">
      <c r="D20" t="s">
        <v>141</v>
      </c>
      <c r="E20">
        <v>0.18943313000000001</v>
      </c>
      <c r="F20">
        <v>5</v>
      </c>
      <c r="G20">
        <v>4</v>
      </c>
      <c r="H20">
        <v>1.0900000000000001</v>
      </c>
      <c r="N20" t="s">
        <v>139</v>
      </c>
    </row>
    <row r="21" spans="4:16">
      <c r="D21" t="s">
        <v>141</v>
      </c>
      <c r="E21">
        <v>0.18943313000000001</v>
      </c>
      <c r="F21">
        <v>6</v>
      </c>
      <c r="G21">
        <v>4</v>
      </c>
      <c r="H21">
        <v>1.0914999999999999</v>
      </c>
      <c r="N21" t="s">
        <v>140</v>
      </c>
    </row>
    <row r="22" spans="4:16">
      <c r="D22" t="s">
        <v>142</v>
      </c>
      <c r="E22">
        <v>0.16071421</v>
      </c>
      <c r="F22">
        <v>1</v>
      </c>
      <c r="G22">
        <v>1</v>
      </c>
      <c r="H22">
        <v>-0.37</v>
      </c>
      <c r="N22" t="s">
        <v>140</v>
      </c>
    </row>
    <row r="23" spans="4:16">
      <c r="D23" t="s">
        <v>142</v>
      </c>
      <c r="E23">
        <v>0.16071421</v>
      </c>
      <c r="F23">
        <v>2</v>
      </c>
      <c r="G23">
        <v>2</v>
      </c>
      <c r="H23">
        <v>1.41</v>
      </c>
      <c r="N23" t="s">
        <v>140</v>
      </c>
    </row>
    <row r="24" spans="4:16">
      <c r="D24" t="s">
        <v>142</v>
      </c>
      <c r="E24">
        <v>0.16071421</v>
      </c>
      <c r="F24">
        <v>3</v>
      </c>
      <c r="G24">
        <v>5</v>
      </c>
      <c r="H24">
        <v>3.18</v>
      </c>
      <c r="N24" t="s">
        <v>140</v>
      </c>
    </row>
    <row r="25" spans="4:16">
      <c r="D25" t="s">
        <v>142</v>
      </c>
      <c r="E25">
        <v>0.16071421</v>
      </c>
      <c r="F25">
        <v>4</v>
      </c>
      <c r="G25">
        <v>3</v>
      </c>
      <c r="H25">
        <v>3.18</v>
      </c>
      <c r="N25" t="s">
        <v>141</v>
      </c>
    </row>
    <row r="26" spans="4:16">
      <c r="N26" t="s">
        <v>141</v>
      </c>
    </row>
    <row r="27" spans="4:16">
      <c r="N27" t="s">
        <v>141</v>
      </c>
    </row>
    <row r="28" spans="4:16">
      <c r="N28" t="s">
        <v>141</v>
      </c>
    </row>
    <row r="29" spans="4:16">
      <c r="N29" t="s">
        <v>141</v>
      </c>
    </row>
    <row r="30" spans="4:16">
      <c r="N30" t="s">
        <v>141</v>
      </c>
    </row>
    <row r="31" spans="4:16">
      <c r="N31" t="s">
        <v>142</v>
      </c>
    </row>
    <row r="32" spans="4:16">
      <c r="N32" t="s">
        <v>142</v>
      </c>
    </row>
    <row r="33" spans="14:14">
      <c r="N33" t="s">
        <v>142</v>
      </c>
    </row>
    <row r="34" spans="14:14">
      <c r="N34" t="s">
        <v>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EEEA-3AC4-46FF-9275-5316ADC6FF72}">
  <dimension ref="A1:S28"/>
  <sheetViews>
    <sheetView topLeftCell="A3" workbookViewId="0">
      <selection activeCell="Q11" sqref="Q11:Q14"/>
    </sheetView>
  </sheetViews>
  <sheetFormatPr defaultRowHeight="13.5"/>
  <sheetData>
    <row r="1" spans="1:19" ht="13.9">
      <c r="A1" s="2" t="s">
        <v>59</v>
      </c>
      <c r="B1" s="2" t="s">
        <v>60</v>
      </c>
      <c r="C1" s="2" t="s">
        <v>61</v>
      </c>
      <c r="D1" s="2" t="s">
        <v>110</v>
      </c>
      <c r="E1" s="3" t="s">
        <v>1</v>
      </c>
      <c r="F1" s="3" t="s">
        <v>120</v>
      </c>
      <c r="G1" s="3" t="s">
        <v>121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19">
      <c r="D2" t="s">
        <v>143</v>
      </c>
      <c r="E2">
        <v>0.4</v>
      </c>
      <c r="F2">
        <v>1</v>
      </c>
      <c r="G2">
        <v>3</v>
      </c>
      <c r="H2">
        <v>0.81630000000000003</v>
      </c>
    </row>
    <row r="3" spans="1:19">
      <c r="D3" t="s">
        <v>143</v>
      </c>
      <c r="E3">
        <v>0.4</v>
      </c>
      <c r="F3">
        <v>2</v>
      </c>
      <c r="G3">
        <v>3</v>
      </c>
      <c r="H3">
        <v>0.81630000000000003</v>
      </c>
    </row>
    <row r="4" spans="1:19">
      <c r="D4" t="s">
        <v>143</v>
      </c>
      <c r="E4">
        <v>0.4</v>
      </c>
      <c r="F4">
        <v>3</v>
      </c>
      <c r="G4">
        <v>1</v>
      </c>
      <c r="H4">
        <v>-1.2755000000000001</v>
      </c>
    </row>
    <row r="5" spans="1:19">
      <c r="D5" t="s">
        <v>143</v>
      </c>
      <c r="E5">
        <v>0.4</v>
      </c>
      <c r="F5">
        <v>4</v>
      </c>
      <c r="G5">
        <v>2</v>
      </c>
      <c r="H5">
        <v>0.2296</v>
      </c>
    </row>
    <row r="6" spans="1:19">
      <c r="D6" t="s">
        <v>144</v>
      </c>
      <c r="E6">
        <v>0.21</v>
      </c>
      <c r="F6">
        <v>1</v>
      </c>
      <c r="G6">
        <v>1</v>
      </c>
      <c r="H6">
        <v>-0.19220000000000001</v>
      </c>
    </row>
    <row r="7" spans="1:19">
      <c r="D7" t="s">
        <v>144</v>
      </c>
      <c r="E7">
        <v>0.21</v>
      </c>
      <c r="F7">
        <v>2</v>
      </c>
      <c r="G7">
        <v>1</v>
      </c>
      <c r="H7">
        <v>-0.19220000000000001</v>
      </c>
    </row>
    <row r="8" spans="1:19">
      <c r="D8" t="s">
        <v>144</v>
      </c>
      <c r="E8">
        <v>0.21</v>
      </c>
      <c r="F8">
        <v>3</v>
      </c>
      <c r="G8">
        <v>3</v>
      </c>
      <c r="H8">
        <v>5.1326000000000001</v>
      </c>
    </row>
    <row r="9" spans="1:19">
      <c r="D9" t="s">
        <v>144</v>
      </c>
      <c r="E9">
        <v>0.21</v>
      </c>
      <c r="F9">
        <v>4</v>
      </c>
      <c r="H9">
        <v>0</v>
      </c>
    </row>
    <row r="10" spans="1:19">
      <c r="D10" t="s">
        <v>145</v>
      </c>
      <c r="E10">
        <v>0.22</v>
      </c>
      <c r="F10">
        <v>1</v>
      </c>
      <c r="G10">
        <v>1</v>
      </c>
      <c r="H10">
        <v>-0.85929999999999995</v>
      </c>
      <c r="Q10" t="s">
        <v>110</v>
      </c>
    </row>
    <row r="11" spans="1:19">
      <c r="D11" t="s">
        <v>145</v>
      </c>
      <c r="E11">
        <v>0.22</v>
      </c>
      <c r="F11">
        <v>2</v>
      </c>
      <c r="G11">
        <v>1</v>
      </c>
      <c r="H11">
        <v>-0.85929999999999995</v>
      </c>
      <c r="O11" t="s">
        <v>110</v>
      </c>
      <c r="Q11" t="s">
        <v>143</v>
      </c>
    </row>
    <row r="12" spans="1:19">
      <c r="D12" t="s">
        <v>145</v>
      </c>
      <c r="E12">
        <v>0.22</v>
      </c>
      <c r="F12">
        <v>3</v>
      </c>
      <c r="G12">
        <v>2</v>
      </c>
      <c r="H12">
        <v>1.1455</v>
      </c>
      <c r="O12" t="s">
        <v>143</v>
      </c>
      <c r="Q12" t="s">
        <v>144</v>
      </c>
    </row>
    <row r="13" spans="1:19">
      <c r="D13" t="s">
        <v>145</v>
      </c>
      <c r="E13">
        <v>0.22</v>
      </c>
      <c r="F13">
        <v>4</v>
      </c>
      <c r="G13">
        <v>2</v>
      </c>
      <c r="H13">
        <v>1.1455</v>
      </c>
      <c r="O13" t="s">
        <v>143</v>
      </c>
      <c r="Q13" t="s">
        <v>145</v>
      </c>
    </row>
    <row r="14" spans="1:19">
      <c r="D14" t="s">
        <v>146</v>
      </c>
      <c r="E14">
        <v>0.18</v>
      </c>
      <c r="F14">
        <v>1</v>
      </c>
      <c r="G14">
        <v>1</v>
      </c>
      <c r="H14">
        <v>-1.2235</v>
      </c>
      <c r="O14" t="s">
        <v>143</v>
      </c>
      <c r="Q14" t="s">
        <v>146</v>
      </c>
    </row>
    <row r="15" spans="1:19">
      <c r="D15" t="s">
        <v>146</v>
      </c>
      <c r="E15">
        <v>0.18</v>
      </c>
      <c r="F15">
        <v>2</v>
      </c>
      <c r="G15">
        <v>1</v>
      </c>
      <c r="H15">
        <v>-1.2235</v>
      </c>
      <c r="O15" t="s">
        <v>143</v>
      </c>
    </row>
    <row r="16" spans="1:19">
      <c r="D16" t="s">
        <v>146</v>
      </c>
      <c r="E16">
        <v>0.18</v>
      </c>
      <c r="F16">
        <v>3</v>
      </c>
      <c r="G16">
        <v>3</v>
      </c>
      <c r="H16">
        <v>1.9005000000000001</v>
      </c>
      <c r="O16" t="s">
        <v>144</v>
      </c>
    </row>
    <row r="17" spans="4:15">
      <c r="D17" t="s">
        <v>146</v>
      </c>
      <c r="E17">
        <v>0.18</v>
      </c>
      <c r="F17">
        <v>4</v>
      </c>
      <c r="G17">
        <v>3</v>
      </c>
      <c r="H17">
        <v>1.9005000000000001</v>
      </c>
      <c r="O17" t="s">
        <v>144</v>
      </c>
    </row>
    <row r="18" spans="4:15">
      <c r="D18" t="s">
        <v>146</v>
      </c>
      <c r="E18">
        <v>0.18</v>
      </c>
      <c r="F18">
        <v>5</v>
      </c>
      <c r="G18">
        <v>2</v>
      </c>
      <c r="H18">
        <v>0.33850000000000002</v>
      </c>
      <c r="O18" t="s">
        <v>144</v>
      </c>
    </row>
    <row r="19" spans="4:15">
      <c r="O19" t="s">
        <v>144</v>
      </c>
    </row>
    <row r="20" spans="4:15">
      <c r="O20" t="s">
        <v>145</v>
      </c>
    </row>
    <row r="21" spans="4:15">
      <c r="O21" t="s">
        <v>145</v>
      </c>
    </row>
    <row r="22" spans="4:15">
      <c r="O22" t="s">
        <v>145</v>
      </c>
    </row>
    <row r="23" spans="4:15">
      <c r="O23" t="s">
        <v>145</v>
      </c>
    </row>
    <row r="24" spans="4:15">
      <c r="O24" t="s">
        <v>146</v>
      </c>
    </row>
    <row r="25" spans="4:15">
      <c r="O25" t="s">
        <v>146</v>
      </c>
    </row>
    <row r="26" spans="4:15">
      <c r="O26" t="s">
        <v>146</v>
      </c>
    </row>
    <row r="27" spans="4:15">
      <c r="O27" t="s">
        <v>146</v>
      </c>
    </row>
    <row r="28" spans="4:15">
      <c r="O28" t="s">
        <v>146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2E11-8A86-4487-9E97-8FBE9461A44C}">
  <dimension ref="A1:S31"/>
  <sheetViews>
    <sheetView topLeftCell="A4" workbookViewId="0">
      <selection activeCell="N8" sqref="N8:N13"/>
    </sheetView>
  </sheetViews>
  <sheetFormatPr defaultRowHeight="13.5"/>
  <sheetData>
    <row r="1" spans="1:19" ht="13.9">
      <c r="A1" s="2" t="s">
        <v>59</v>
      </c>
      <c r="B1" s="2" t="s">
        <v>60</v>
      </c>
      <c r="C1" s="2" t="s">
        <v>61</v>
      </c>
      <c r="D1" s="2" t="s">
        <v>110</v>
      </c>
      <c r="E1" s="3" t="s">
        <v>1</v>
      </c>
      <c r="F1" s="3" t="s">
        <v>120</v>
      </c>
      <c r="G1" s="3" t="s">
        <v>121</v>
      </c>
      <c r="H1" s="3" t="s">
        <v>4</v>
      </c>
      <c r="I1" s="3" t="s">
        <v>41</v>
      </c>
      <c r="J1" s="3" t="s">
        <v>40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56</v>
      </c>
      <c r="Q1" s="3" t="s">
        <v>55</v>
      </c>
      <c r="R1" s="3" t="s">
        <v>57</v>
      </c>
      <c r="S1" s="3" t="s">
        <v>58</v>
      </c>
    </row>
    <row r="2" spans="1:19">
      <c r="D2" t="s">
        <v>147</v>
      </c>
      <c r="E2">
        <v>0.27100000000000002</v>
      </c>
      <c r="F2">
        <v>1</v>
      </c>
      <c r="G2">
        <v>2</v>
      </c>
      <c r="H2">
        <v>-0.24429999999999999</v>
      </c>
    </row>
    <row r="3" spans="1:19">
      <c r="D3" t="s">
        <v>147</v>
      </c>
      <c r="E3">
        <v>0.27100000000000002</v>
      </c>
      <c r="F3">
        <v>2</v>
      </c>
      <c r="G3">
        <v>2</v>
      </c>
      <c r="H3">
        <v>-0.24429999999999999</v>
      </c>
    </row>
    <row r="4" spans="1:19">
      <c r="D4" t="s">
        <v>147</v>
      </c>
      <c r="E4">
        <v>0.27100000000000002</v>
      </c>
      <c r="F4">
        <v>3</v>
      </c>
      <c r="G4">
        <v>1</v>
      </c>
      <c r="H4">
        <v>-1.4802999999999999</v>
      </c>
      <c r="K4" s="2" t="s">
        <v>110</v>
      </c>
    </row>
    <row r="5" spans="1:19">
      <c r="D5" t="s">
        <v>147</v>
      </c>
      <c r="E5">
        <v>0.27100000000000002</v>
      </c>
      <c r="F5">
        <v>4</v>
      </c>
      <c r="G5">
        <v>1</v>
      </c>
      <c r="H5">
        <v>-1.4802999999999999</v>
      </c>
      <c r="K5" t="s">
        <v>147</v>
      </c>
    </row>
    <row r="6" spans="1:19">
      <c r="D6" t="s">
        <v>147</v>
      </c>
      <c r="E6">
        <v>0.27100000000000002</v>
      </c>
      <c r="F6">
        <v>5</v>
      </c>
      <c r="G6">
        <v>3</v>
      </c>
      <c r="H6">
        <v>0.99160000000000004</v>
      </c>
      <c r="K6" t="s">
        <v>147</v>
      </c>
    </row>
    <row r="7" spans="1:19">
      <c r="D7" t="s">
        <v>147</v>
      </c>
      <c r="E7">
        <v>0.27100000000000002</v>
      </c>
      <c r="F7">
        <v>6</v>
      </c>
      <c r="G7">
        <v>3</v>
      </c>
      <c r="H7">
        <v>0.99160000000000004</v>
      </c>
      <c r="K7" t="s">
        <v>147</v>
      </c>
      <c r="N7" s="2" t="s">
        <v>110</v>
      </c>
    </row>
    <row r="8" spans="1:19">
      <c r="D8" t="s">
        <v>148</v>
      </c>
      <c r="E8">
        <v>0.1</v>
      </c>
      <c r="F8">
        <v>1</v>
      </c>
      <c r="G8">
        <v>1</v>
      </c>
      <c r="H8">
        <v>-0.95330000000000004</v>
      </c>
      <c r="K8" t="s">
        <v>147</v>
      </c>
      <c r="N8" t="s">
        <v>147</v>
      </c>
    </row>
    <row r="9" spans="1:19">
      <c r="D9" t="s">
        <v>148</v>
      </c>
      <c r="E9">
        <v>0.1</v>
      </c>
      <c r="F9">
        <v>2</v>
      </c>
      <c r="G9">
        <v>1</v>
      </c>
      <c r="H9">
        <v>-0.95330000000000004</v>
      </c>
      <c r="K9" t="s">
        <v>147</v>
      </c>
      <c r="N9" t="s">
        <v>148</v>
      </c>
    </row>
    <row r="10" spans="1:19">
      <c r="D10" t="s">
        <v>148</v>
      </c>
      <c r="E10">
        <v>0.1</v>
      </c>
      <c r="F10">
        <v>3</v>
      </c>
      <c r="G10">
        <v>2</v>
      </c>
      <c r="H10">
        <v>1.0347999999999999</v>
      </c>
      <c r="K10" t="s">
        <v>147</v>
      </c>
      <c r="N10" t="s">
        <v>149</v>
      </c>
    </row>
    <row r="11" spans="1:19">
      <c r="D11" t="s">
        <v>148</v>
      </c>
      <c r="E11">
        <v>0.1</v>
      </c>
      <c r="F11">
        <v>4</v>
      </c>
      <c r="G11">
        <v>2</v>
      </c>
      <c r="H11">
        <v>1.0347999999999999</v>
      </c>
      <c r="K11" t="s">
        <v>148</v>
      </c>
      <c r="N11" t="s">
        <v>150</v>
      </c>
    </row>
    <row r="12" spans="1:19">
      <c r="D12" t="s">
        <v>148</v>
      </c>
      <c r="E12">
        <v>0.1</v>
      </c>
      <c r="F12">
        <v>5</v>
      </c>
      <c r="G12">
        <v>2</v>
      </c>
      <c r="H12">
        <v>1.0347999999999999</v>
      </c>
      <c r="K12" t="s">
        <v>148</v>
      </c>
      <c r="N12" t="s">
        <v>151</v>
      </c>
    </row>
    <row r="13" spans="1:19">
      <c r="D13" t="s">
        <v>149</v>
      </c>
      <c r="E13">
        <v>0.15</v>
      </c>
      <c r="F13">
        <v>1</v>
      </c>
      <c r="G13">
        <v>1</v>
      </c>
      <c r="H13">
        <v>-0.86680000000000001</v>
      </c>
      <c r="K13" t="s">
        <v>148</v>
      </c>
      <c r="N13" t="s">
        <v>152</v>
      </c>
    </row>
    <row r="14" spans="1:19">
      <c r="D14" t="s">
        <v>149</v>
      </c>
      <c r="E14">
        <v>0.15</v>
      </c>
      <c r="F14">
        <v>2</v>
      </c>
      <c r="G14">
        <v>1</v>
      </c>
      <c r="H14">
        <v>-0.86680000000000001</v>
      </c>
      <c r="K14" t="s">
        <v>148</v>
      </c>
    </row>
    <row r="15" spans="1:19">
      <c r="D15" t="s">
        <v>149</v>
      </c>
      <c r="E15">
        <v>0.15</v>
      </c>
      <c r="F15">
        <v>3</v>
      </c>
      <c r="G15">
        <v>2</v>
      </c>
      <c r="H15">
        <v>1.1392</v>
      </c>
      <c r="K15" t="s">
        <v>148</v>
      </c>
    </row>
    <row r="16" spans="1:19">
      <c r="D16" t="s">
        <v>150</v>
      </c>
      <c r="E16">
        <v>0.14000000000000001</v>
      </c>
      <c r="F16">
        <v>1</v>
      </c>
      <c r="G16">
        <v>1</v>
      </c>
      <c r="H16">
        <v>-1.1152</v>
      </c>
      <c r="K16" t="s">
        <v>149</v>
      </c>
    </row>
    <row r="17" spans="4:11">
      <c r="D17" t="s">
        <v>150</v>
      </c>
      <c r="E17">
        <v>0.14000000000000001</v>
      </c>
      <c r="F17">
        <v>2</v>
      </c>
      <c r="G17">
        <v>2</v>
      </c>
      <c r="H17">
        <v>8.4500000000000006E-2</v>
      </c>
      <c r="K17" t="s">
        <v>149</v>
      </c>
    </row>
    <row r="18" spans="4:11">
      <c r="D18" t="s">
        <v>150</v>
      </c>
      <c r="E18">
        <v>0.14000000000000001</v>
      </c>
      <c r="F18">
        <v>3</v>
      </c>
      <c r="G18">
        <v>3</v>
      </c>
      <c r="H18">
        <v>1.2841</v>
      </c>
      <c r="K18" t="s">
        <v>149</v>
      </c>
    </row>
    <row r="19" spans="4:11">
      <c r="D19" t="s">
        <v>150</v>
      </c>
      <c r="E19">
        <v>0.14000000000000001</v>
      </c>
      <c r="F19">
        <v>4</v>
      </c>
      <c r="G19">
        <v>4</v>
      </c>
      <c r="H19">
        <v>2.4836999999999998</v>
      </c>
      <c r="K19" t="s">
        <v>150</v>
      </c>
    </row>
    <row r="20" spans="4:11">
      <c r="D20" t="s">
        <v>151</v>
      </c>
      <c r="E20">
        <v>0.2</v>
      </c>
      <c r="F20">
        <v>1</v>
      </c>
      <c r="G20">
        <v>3</v>
      </c>
      <c r="H20">
        <v>0.63929999999999998</v>
      </c>
      <c r="K20" t="s">
        <v>150</v>
      </c>
    </row>
    <row r="21" spans="4:11">
      <c r="D21" t="s">
        <v>151</v>
      </c>
      <c r="E21">
        <v>0.2</v>
      </c>
      <c r="F21">
        <v>2</v>
      </c>
      <c r="G21">
        <v>1</v>
      </c>
      <c r="H21">
        <v>-0.91059999999999997</v>
      </c>
      <c r="K21" t="s">
        <v>150</v>
      </c>
    </row>
    <row r="22" spans="4:11">
      <c r="D22" t="s">
        <v>151</v>
      </c>
      <c r="E22">
        <v>0.2</v>
      </c>
      <c r="F22">
        <v>3</v>
      </c>
      <c r="G22">
        <v>2</v>
      </c>
      <c r="H22">
        <v>-0.1356</v>
      </c>
      <c r="K22" t="s">
        <v>150</v>
      </c>
    </row>
    <row r="23" spans="4:11">
      <c r="D23" t="s">
        <v>151</v>
      </c>
      <c r="E23">
        <v>0.2</v>
      </c>
      <c r="F23">
        <v>4</v>
      </c>
      <c r="G23">
        <v>1</v>
      </c>
      <c r="H23">
        <v>-0.91059999999999997</v>
      </c>
      <c r="K23" t="s">
        <v>151</v>
      </c>
    </row>
    <row r="24" spans="4:11">
      <c r="D24" t="s">
        <v>151</v>
      </c>
      <c r="E24">
        <v>0.2</v>
      </c>
      <c r="F24">
        <v>5</v>
      </c>
      <c r="G24">
        <v>4</v>
      </c>
      <c r="H24">
        <v>1.4142999999999999</v>
      </c>
      <c r="K24" t="s">
        <v>151</v>
      </c>
    </row>
    <row r="25" spans="4:11">
      <c r="D25" t="s">
        <v>152</v>
      </c>
      <c r="E25">
        <v>0.14000000000000001</v>
      </c>
      <c r="F25">
        <v>1</v>
      </c>
      <c r="G25">
        <v>1</v>
      </c>
      <c r="H25">
        <v>-0.61350000000000005</v>
      </c>
      <c r="K25" t="s">
        <v>151</v>
      </c>
    </row>
    <row r="26" spans="4:11">
      <c r="D26" t="s">
        <v>152</v>
      </c>
      <c r="E26">
        <v>0.14000000000000001</v>
      </c>
      <c r="F26">
        <v>2</v>
      </c>
      <c r="G26">
        <v>2</v>
      </c>
      <c r="H26">
        <v>1.1777</v>
      </c>
      <c r="K26" t="s">
        <v>151</v>
      </c>
    </row>
    <row r="27" spans="4:11">
      <c r="D27" t="s">
        <v>152</v>
      </c>
      <c r="E27">
        <v>0.14000000000000001</v>
      </c>
      <c r="F27">
        <v>3</v>
      </c>
      <c r="G27">
        <v>2</v>
      </c>
      <c r="H27">
        <v>1.1777</v>
      </c>
      <c r="K27" t="s">
        <v>151</v>
      </c>
    </row>
    <row r="28" spans="4:11">
      <c r="D28" t="s">
        <v>152</v>
      </c>
      <c r="E28">
        <v>0.14000000000000001</v>
      </c>
      <c r="F28">
        <v>4</v>
      </c>
      <c r="G28">
        <v>3</v>
      </c>
      <c r="H28">
        <v>2.9687999999999999</v>
      </c>
      <c r="K28" t="s">
        <v>152</v>
      </c>
    </row>
    <row r="29" spans="4:11">
      <c r="K29" t="s">
        <v>152</v>
      </c>
    </row>
    <row r="30" spans="4:11">
      <c r="K30" t="s">
        <v>152</v>
      </c>
    </row>
    <row r="31" spans="4:11">
      <c r="K3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2. Financial Scorecard (2)</vt:lpstr>
      <vt:lpstr>Inputs</vt:lpstr>
      <vt:lpstr>Application Model</vt:lpstr>
      <vt:lpstr>Application</vt:lpstr>
      <vt:lpstr>Internal Deposit</vt:lpstr>
      <vt:lpstr>Financial</vt:lpstr>
      <vt:lpstr>Bureau Individual</vt:lpstr>
      <vt:lpstr>Input Flat file</vt:lpstr>
      <vt:lpstr>Bureau Commercial</vt:lpstr>
      <vt:lpstr>Cash Flow</vt:lpstr>
      <vt:lpstr>Sheet6</vt:lpstr>
      <vt:lpstr>QCA</vt:lpstr>
      <vt:lpstr>7.Industry QCA Manufacturing</vt:lpstr>
      <vt:lpstr>8.Industry QCA Services</vt:lpstr>
      <vt:lpstr>8.Industry QCA Trading</vt:lpstr>
      <vt:lpstr>'7.Industry QCA Manufacturing'!Extract</vt:lpstr>
      <vt:lpstr>'8.Industry QCA Services'!Extract</vt:lpstr>
      <vt:lpstr>'8.Industry QCA Trading'!Extract</vt:lpstr>
      <vt:lpstr>QCA!Extract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AWASTHI</dc:creator>
  <cp:lastModifiedBy>shobhit AWASTHI</cp:lastModifiedBy>
  <dcterms:created xsi:type="dcterms:W3CDTF">2025-10-24T04:45:50Z</dcterms:created>
  <dcterms:modified xsi:type="dcterms:W3CDTF">2025-10-31T15:34:24Z</dcterms:modified>
</cp:coreProperties>
</file>